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Google Drive\Django\Andina_stable\resources\excel_formats\"/>
    </mc:Choice>
  </mc:AlternateContent>
  <xr:revisionPtr revIDLastSave="0" documentId="13_ncr:1_{84C92527-BC0F-40B0-86D0-86402344A5C3}" xr6:coauthVersionLast="47" xr6:coauthVersionMax="47" xr10:uidLastSave="{00000000-0000-0000-0000-000000000000}"/>
  <bookViews>
    <workbookView xWindow="-108" yWindow="-108" windowWidth="23256" windowHeight="12456" tabRatio="604" xr2:uid="{00000000-000D-0000-FFFF-FFFF00000000}"/>
  </bookViews>
  <sheets>
    <sheet name="Override" sheetId="1" r:id="rId1"/>
    <sheet name="Escalas" sheetId="2" state="hidden" r:id="rId2"/>
    <sheet name="Sandville Beach" sheetId="3" r:id="rId3"/>
    <sheet name="Perla del Mar" sheetId="4" r:id="rId4"/>
    <sheet name="Tesoro Escondido" sheetId="5" r:id="rId5"/>
    <sheet name="Vegas de Venecia" sheetId="6" r:id="rId6"/>
    <sheet name="Carmelo Reservado" sheetId="8" r:id="rId7"/>
    <sheet name="Fractal" sheetId="7" r:id="rId8"/>
    <sheet name="Casas de Veran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D14" i="1"/>
  <c r="C14" i="1"/>
  <c r="C13" i="1"/>
  <c r="C20" i="1" s="1"/>
  <c r="D13" i="1"/>
  <c r="D20" i="1" s="1"/>
  <c r="D12" i="1"/>
  <c r="G12" i="1" s="1"/>
  <c r="C12" i="1"/>
  <c r="C19" i="1" s="1"/>
  <c r="C9" i="1"/>
  <c r="C8" i="1"/>
  <c r="C7" i="1"/>
  <c r="C6" i="1"/>
  <c r="D9" i="1"/>
  <c r="D8" i="1"/>
  <c r="D7" i="1"/>
  <c r="D6" i="1"/>
  <c r="F16" i="1"/>
  <c r="F22" i="1" s="1"/>
  <c r="F15" i="1"/>
  <c r="F14" i="1"/>
  <c r="F21" i="1" s="1"/>
  <c r="F13" i="1"/>
  <c r="F20" i="1" s="1"/>
  <c r="F12" i="1"/>
  <c r="F19" i="1" s="1"/>
  <c r="F9" i="1"/>
  <c r="F8" i="1"/>
  <c r="F7" i="1"/>
  <c r="F6" i="1"/>
  <c r="F3" i="1"/>
  <c r="D3" i="1"/>
  <c r="E3" i="1" s="1"/>
  <c r="C3" i="1"/>
  <c r="F2" i="1"/>
  <c r="D2" i="1"/>
  <c r="C2" i="1"/>
  <c r="C22" i="1" l="1"/>
  <c r="G15" i="1"/>
  <c r="I15" i="1" s="1"/>
  <c r="G9" i="1"/>
  <c r="I9" i="1" s="1"/>
  <c r="E16" i="1"/>
  <c r="E15" i="1"/>
  <c r="D21" i="1"/>
  <c r="E14" i="1"/>
  <c r="C21" i="1"/>
  <c r="E12" i="1"/>
  <c r="E8" i="1"/>
  <c r="E7" i="1"/>
  <c r="E6" i="1"/>
  <c r="E9" i="1"/>
  <c r="G8" i="1"/>
  <c r="I8" i="1" s="1"/>
  <c r="E20" i="1"/>
  <c r="H20" i="1" s="1"/>
  <c r="G20" i="1"/>
  <c r="G21" i="1"/>
  <c r="G22" i="1"/>
  <c r="G2" i="1"/>
  <c r="I2" i="1" s="1"/>
  <c r="G6" i="1"/>
  <c r="I6" i="1" s="1"/>
  <c r="I12" i="1"/>
  <c r="G16" i="1"/>
  <c r="I16" i="1" s="1"/>
  <c r="E2" i="1"/>
  <c r="G3" i="1"/>
  <c r="I3" i="1" s="1"/>
  <c r="D22" i="1"/>
  <c r="E22" i="1" s="1"/>
  <c r="H22" i="1" s="1"/>
  <c r="E13" i="1"/>
  <c r="G14" i="1"/>
  <c r="I14" i="1" s="1"/>
  <c r="D19" i="1"/>
  <c r="E19" i="1" s="1"/>
  <c r="H19" i="1" s="1"/>
  <c r="G7" i="1"/>
  <c r="I7" i="1" s="1"/>
  <c r="G13" i="1"/>
  <c r="I13" i="1" s="1"/>
  <c r="I17" i="1" l="1"/>
  <c r="I4" i="1"/>
  <c r="E21" i="1"/>
  <c r="H21" i="1" s="1"/>
  <c r="I21" i="1" s="1"/>
  <c r="I10" i="1"/>
  <c r="I22" i="1"/>
  <c r="G19" i="1"/>
  <c r="I19" i="1" s="1"/>
  <c r="I20" i="1"/>
  <c r="I23" i="1" l="1"/>
  <c r="I24" i="1" s="1"/>
</calcChain>
</file>

<file path=xl/sharedStrings.xml><?xml version="1.0" encoding="utf-8"?>
<sst xmlns="http://schemas.openxmlformats.org/spreadsheetml/2006/main" count="192" uniqueCount="40">
  <si>
    <t>Gestor</t>
  </si>
  <si>
    <t>Proyecto</t>
  </si>
  <si>
    <t>Presupuesto</t>
  </si>
  <si>
    <t>Rcdo Presupuestado</t>
  </si>
  <si>
    <t>Cumplimiento Ppto</t>
  </si>
  <si>
    <t>Rcdo No pptado (sin Cashout)</t>
  </si>
  <si>
    <t>Total Rcdo Bonificable</t>
  </si>
  <si>
    <t>Ov</t>
  </si>
  <si>
    <t>Bono Override</t>
  </si>
  <si>
    <t>Darcy Julio</t>
  </si>
  <si>
    <t>Sandville Beach</t>
  </si>
  <si>
    <t>Perla del Mar</t>
  </si>
  <si>
    <t>TOTAL DARCY JULIO</t>
  </si>
  <si>
    <t>Nelson Suarez</t>
  </si>
  <si>
    <t>Tesoro Escondido</t>
  </si>
  <si>
    <t>Vegas de Venecia</t>
  </si>
  <si>
    <t>Carmelo Reservado</t>
  </si>
  <si>
    <t>SUBTOTAL NELSON SUAREZ CARTERA CCIAL</t>
  </si>
  <si>
    <t>SUBTOTAL NELSON SUAREZ CARTERA ADMIN</t>
  </si>
  <si>
    <t>SUBTOTAL NELSON SUAREZ JEFE CARTERA</t>
  </si>
  <si>
    <t>Cumplimiento (Minimo)</t>
  </si>
  <si>
    <t>Bono</t>
  </si>
  <si>
    <t>Adjudicacion</t>
  </si>
  <si>
    <t>Cliente</t>
  </si>
  <si>
    <t>Estado</t>
  </si>
  <si>
    <t>Origen</t>
  </si>
  <si>
    <t>Venta Mes</t>
  </si>
  <si>
    <t>Tipo Cartera</t>
  </si>
  <si>
    <t>Edad</t>
  </si>
  <si>
    <t>Cuota Mes</t>
  </si>
  <si>
    <t>Recaudo Mes</t>
  </si>
  <si>
    <t>Cuotas Vencidas</t>
  </si>
  <si>
    <t>Recaudo Vencido</t>
  </si>
  <si>
    <t>Presupuesto Total</t>
  </si>
  <si>
    <t>Recaudo Presupuestado</t>
  </si>
  <si>
    <t>Recaudo No Pptado</t>
  </si>
  <si>
    <t>Recaudo Total</t>
  </si>
  <si>
    <t>Asesor</t>
  </si>
  <si>
    <t>Cashout</t>
  </si>
  <si>
    <t>TOTAL NELSON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</si>
</sst>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.00_-;&quot;-$&quot;* #,##0.00_-;_-\$* \-??_-;_-@_-"/>
    <numFmt numFmtId="165" formatCode="_-* #,##0.00_-;\-* #,##0.00_-;_-* \-??_-;_-@_-"/>
  </numFmts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165" fontId="6" fillId="0" borderId="0"/>
    <xf numFmtId="164" fontId="6" fillId="0" borderId="0"/>
    <xf numFmtId="9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0" fillId="0" borderId="0" xfId="0" applyNumberFormat="1"/>
    <xf numFmtId="0" fontId="0" fillId="0" borderId="1" xfId="0" applyBorder="1"/>
    <xf numFmtId="164" fontId="0" fillId="0" borderId="1" xfId="2" applyFont="1" applyBorder="1"/>
    <xf numFmtId="9" fontId="0" fillId="0" borderId="1" xfId="3" applyFont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 applyAlignment="1">
      <alignment horizontal="center"/>
    </xf>
    <xf numFmtId="164" fontId="5" fillId="0" borderId="1" xfId="0" applyNumberFormat="1" applyFont="1" applyBorder="1"/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65" fontId="6" fillId="0" borderId="0" xfId="1"/>
    <xf numFmtId="0" fontId="3" fillId="0" borderId="0" xfId="5" applyFont="1"/>
    <xf numFmtId="0" fontId="2" fillId="0" borderId="0" xfId="6" applyFont="1"/>
    <xf numFmtId="0" fontId="1" fillId="0" borderId="0" xfId="7" applyFont="1"/>
    <xf numFmtId="164" fontId="5" fillId="3" borderId="1" xfId="0" applyNumberFormat="1" applyFont="1" applyFill="1" applyBorder="1"/>
    <xf numFmtId="0" fontId="5" fillId="0" borderId="1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0" fillId="3" borderId="2" xfId="0" applyFill="1" applyBorder="1"/>
    <xf numFmtId="0" fontId="0" fillId="3" borderId="3" xfId="0" applyFill="1" applyBorder="1"/>
  </cellXfs>
  <cellStyles count="13">
    <cellStyle name="Millares" xfId="1" builtinId="3"/>
    <cellStyle name="Moneda" xfId="2" builtinId="4"/>
    <cellStyle name="Normal" xfId="0" builtinId="0"/>
    <cellStyle name="Normal 10" xfId="12" xr:uid="{00000000-0005-0000-0000-00000C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Normal 6" xfId="8" xr:uid="{00000000-0005-0000-0000-000008000000}"/>
    <cellStyle name="Normal 7" xfId="9" xr:uid="{00000000-0005-0000-0000-000009000000}"/>
    <cellStyle name="Normal 8" xfId="10" xr:uid="{00000000-0005-0000-0000-00000A000000}"/>
    <cellStyle name="Normal 9" xfId="11" xr:uid="{00000000-0005-0000-0000-00000B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Normal="100" workbookViewId="0">
      <selection activeCell="C13" sqref="C13"/>
    </sheetView>
  </sheetViews>
  <sheetFormatPr baseColWidth="10" defaultColWidth="10.5546875" defaultRowHeight="14.4" x14ac:dyDescent="0.3"/>
  <cols>
    <col min="1" max="2" width="19.21875" customWidth="1"/>
    <col min="3" max="3" width="16.5546875" customWidth="1"/>
    <col min="4" max="4" width="19.44140625" customWidth="1"/>
    <col min="5" max="5" width="14.88671875" customWidth="1"/>
    <col min="6" max="6" width="17" customWidth="1"/>
    <col min="7" max="7" width="17.21875" customWidth="1"/>
    <col min="8" max="8" width="11.5546875" style="1" customWidth="1"/>
    <col min="9" max="9" width="13.5546875" customWidth="1"/>
  </cols>
  <sheetData>
    <row r="1" spans="1:13" ht="28.8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L1" s="11"/>
      <c r="M1" s="11"/>
    </row>
    <row r="2" spans="1:13" x14ac:dyDescent="0.3">
      <c r="A2" s="5" t="s">
        <v>9</v>
      </c>
      <c r="B2" s="5" t="s">
        <v>10</v>
      </c>
      <c r="C2" s="6">
        <f>+SUMIFS('Sandville Beach'!L:L,'Sandville Beach'!P:P,Override!A2)</f>
        <v>0</v>
      </c>
      <c r="D2" s="6">
        <f>+SUMIFS('Sandville Beach'!M:M,'Sandville Beach'!P:P,Override!A2)</f>
        <v>0</v>
      </c>
      <c r="E2" s="7" t="e">
        <f>+D2/C2</f>
        <v>#DIV/0!</v>
      </c>
      <c r="F2" s="6">
        <f>+SUMIFS('Sandville Beach'!N:N,'Sandville Beach'!P:P,Override!A2,'Sandville Beach'!Q:Q,"No")</f>
        <v>0</v>
      </c>
      <c r="G2" s="8">
        <f>+D2+F2</f>
        <v>0</v>
      </c>
      <c r="H2" s="9">
        <v>1.5E-3</v>
      </c>
      <c r="I2" s="6">
        <f>+G2*H2</f>
        <v>0</v>
      </c>
      <c r="L2" s="4"/>
      <c r="M2" s="12"/>
    </row>
    <row r="3" spans="1:13" x14ac:dyDescent="0.3">
      <c r="A3" s="5" t="s">
        <v>9</v>
      </c>
      <c r="B3" s="5" t="s">
        <v>11</v>
      </c>
      <c r="C3" s="6">
        <f>+SUMIFS('Perla del Mar'!L:L,'Perla del Mar'!P:P,Override!A3)</f>
        <v>0</v>
      </c>
      <c r="D3" s="6">
        <f>+SUMIFS('Perla del Mar'!M:M,'Perla del Mar'!P:P,Override!A3)</f>
        <v>0</v>
      </c>
      <c r="E3" s="7" t="e">
        <f>+D3/C3</f>
        <v>#DIV/0!</v>
      </c>
      <c r="F3" s="6">
        <f>+SUMIFS('Perla del Mar'!N:N,'Perla del Mar'!P:P,Override!A3,'Perla del Mar'!Q:Q,"No")</f>
        <v>0</v>
      </c>
      <c r="G3" s="8">
        <f>+D3+F3</f>
        <v>0</v>
      </c>
      <c r="H3" s="9">
        <v>1.5E-3</v>
      </c>
      <c r="I3" s="6">
        <f>+G3*H3</f>
        <v>0</v>
      </c>
      <c r="L3" s="4"/>
      <c r="M3" s="12"/>
    </row>
    <row r="4" spans="1:13" x14ac:dyDescent="0.3">
      <c r="A4" s="23" t="s">
        <v>12</v>
      </c>
      <c r="B4" s="24"/>
      <c r="C4" s="24"/>
      <c r="D4" s="24"/>
      <c r="E4" s="24"/>
      <c r="F4" s="24"/>
      <c r="G4" s="24"/>
      <c r="H4" s="25"/>
      <c r="I4" s="19">
        <f>SUM(I2:I3)</f>
        <v>0</v>
      </c>
      <c r="L4" s="4"/>
      <c r="M4" s="12"/>
    </row>
    <row r="5" spans="1:13" ht="28.8" customHeight="1" x14ac:dyDescent="0.3">
      <c r="A5" s="2" t="s">
        <v>0</v>
      </c>
      <c r="B5" s="2" t="s">
        <v>1</v>
      </c>
      <c r="C5" s="2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L5" s="4"/>
      <c r="M5" s="12"/>
    </row>
    <row r="6" spans="1:13" x14ac:dyDescent="0.3">
      <c r="A6" s="5" t="s">
        <v>13</v>
      </c>
      <c r="B6" s="5" t="s">
        <v>14</v>
      </c>
      <c r="C6" s="6">
        <f>+SUMIFS('Tesoro Escondido'!L:L,'Tesoro Escondido'!P:P,Override!A6,'Tesoro Escondido'!F:F,"Comercial")</f>
        <v>0</v>
      </c>
      <c r="D6" s="6">
        <f>+SUMIFS('Tesoro Escondido'!M:M,'Tesoro Escondido'!P:P,Override!A6,'Tesoro Escondido'!F:F,"Comercial")</f>
        <v>0</v>
      </c>
      <c r="E6" s="7" t="e">
        <f>+D6/C6</f>
        <v>#DIV/0!</v>
      </c>
      <c r="F6" s="6">
        <f>+SUMIFS('Tesoro Escondido'!N:N,'Tesoro Escondido'!P:P,Override!A6,'Tesoro Escondido'!Q:Q,"No")</f>
        <v>0</v>
      </c>
      <c r="G6" s="8">
        <f>+D6+F6</f>
        <v>0</v>
      </c>
      <c r="H6" s="9">
        <v>1.5E-3</v>
      </c>
      <c r="I6" s="6">
        <f>+G6*H6</f>
        <v>0</v>
      </c>
      <c r="L6" s="4"/>
      <c r="M6" s="12"/>
    </row>
    <row r="7" spans="1:13" x14ac:dyDescent="0.3">
      <c r="A7" s="5" t="s">
        <v>13</v>
      </c>
      <c r="B7" s="5" t="s">
        <v>15</v>
      </c>
      <c r="C7" s="6">
        <f>+SUMIFS('Vegas de Venecia'!L:L,'Vegas de Venecia'!P:P,Override!A7,'Vegas de Venecia'!F:F,"Comercial")</f>
        <v>0</v>
      </c>
      <c r="D7" s="6">
        <f>+SUMIFS('Vegas de Venecia'!M:M,'Vegas de Venecia'!P:P,Override!A7,'Vegas de Venecia'!F:F,"Comercial")</f>
        <v>0</v>
      </c>
      <c r="E7" s="7" t="e">
        <f>+D7/C7</f>
        <v>#DIV/0!</v>
      </c>
      <c r="F7" s="6">
        <f>+SUMIFS('Vegas de Venecia'!N:N,'Vegas de Venecia'!P:P,Override!A7,'Vegas de Venecia'!Q:Q,"No")</f>
        <v>0</v>
      </c>
      <c r="G7" s="8">
        <f>+D7+F7</f>
        <v>0</v>
      </c>
      <c r="H7" s="9">
        <v>1.5E-3</v>
      </c>
      <c r="I7" s="6">
        <f>+G7*H7</f>
        <v>0</v>
      </c>
      <c r="L7" s="4"/>
      <c r="M7" s="12"/>
    </row>
    <row r="8" spans="1:13" x14ac:dyDescent="0.3">
      <c r="A8" s="5" t="s">
        <v>13</v>
      </c>
      <c r="B8" s="5" t="s">
        <v>11</v>
      </c>
      <c r="C8" s="6">
        <f>+SUMIFS('Perla del Mar'!L:L,'Perla del Mar'!P:P,Override!A8,'Perla del Mar'!F:F,"Comercial")</f>
        <v>0</v>
      </c>
      <c r="D8" s="6">
        <f>+SUMIFS('Perla del Mar'!M:M,'Perla del Mar'!P:P,Override!A8,'Perla del Mar'!F:F,"Comercial")</f>
        <v>0</v>
      </c>
      <c r="E8" s="7" t="e">
        <f>+D8/C8</f>
        <v>#DIV/0!</v>
      </c>
      <c r="F8" s="6">
        <f>+SUMIFS('Perla del Mar'!N:N,'Perla del Mar'!P:P,Override!A8,'Perla del Mar'!Q:Q,"No")</f>
        <v>0</v>
      </c>
      <c r="G8" s="8">
        <f>+D8+F8</f>
        <v>0</v>
      </c>
      <c r="H8" s="9">
        <v>1.5E-3</v>
      </c>
      <c r="I8" s="6">
        <f>+G8*H8</f>
        <v>0</v>
      </c>
      <c r="L8" s="4"/>
      <c r="M8" s="12"/>
    </row>
    <row r="9" spans="1:13" x14ac:dyDescent="0.3">
      <c r="A9" s="5" t="s">
        <v>13</v>
      </c>
      <c r="B9" s="5" t="s">
        <v>16</v>
      </c>
      <c r="C9" s="6">
        <f>+SUMIFS('Carmelo Reservado'!L:L,'Carmelo Reservado'!P:P,Override!A9,'Carmelo Reservado'!F:F,"Comercial")</f>
        <v>0</v>
      </c>
      <c r="D9" s="6">
        <f>+SUMIFS('Carmelo Reservado'!M:M,'Carmelo Reservado'!P:P,Override!A9,'Carmelo Reservado'!F:F,"Comercial")</f>
        <v>0</v>
      </c>
      <c r="E9" s="7" t="e">
        <f>+D9/C9</f>
        <v>#DIV/0!</v>
      </c>
      <c r="F9" s="6">
        <f>+SUMIFS('Carmelo Reservado'!N:N,'Carmelo Reservado'!P:P,Override!A9,'Carmelo Reservado'!Q:Q,"No")</f>
        <v>0</v>
      </c>
      <c r="G9" s="8">
        <f>+D9+F9</f>
        <v>0</v>
      </c>
      <c r="H9" s="9">
        <v>1.5E-3</v>
      </c>
      <c r="I9" s="6">
        <f>+G9*H9</f>
        <v>0</v>
      </c>
      <c r="L9" s="4"/>
      <c r="M9" s="12"/>
    </row>
    <row r="10" spans="1:13" x14ac:dyDescent="0.3">
      <c r="A10" s="20" t="s">
        <v>17</v>
      </c>
      <c r="B10" s="21"/>
      <c r="C10" s="21"/>
      <c r="D10" s="21"/>
      <c r="E10" s="21"/>
      <c r="F10" s="21"/>
      <c r="G10" s="21"/>
      <c r="H10" s="22"/>
      <c r="I10" s="10">
        <f>SUM(I6:I9)</f>
        <v>0</v>
      </c>
      <c r="L10" s="4"/>
      <c r="M10" s="12"/>
    </row>
    <row r="11" spans="1:13" ht="28.8" customHeight="1" x14ac:dyDescent="0.3">
      <c r="A11" s="2" t="s">
        <v>0</v>
      </c>
      <c r="B11" s="2" t="s">
        <v>1</v>
      </c>
      <c r="C11" s="2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L11" s="4"/>
      <c r="M11" s="12"/>
    </row>
    <row r="12" spans="1:13" x14ac:dyDescent="0.3">
      <c r="A12" s="5" t="s">
        <v>13</v>
      </c>
      <c r="B12" s="5" t="s">
        <v>14</v>
      </c>
      <c r="C12" s="6">
        <f>+SUMIFS('Tesoro Escondido'!L:L,'Tesoro Escondido'!P:P,Override!A12,'Tesoro Escondido'!F:F,"Administrativa")</f>
        <v>0</v>
      </c>
      <c r="D12" s="6">
        <f>+SUMIFS('Tesoro Escondido'!M:M,'Tesoro Escondido'!P:P,Override!A12,'Tesoro Escondido'!F:F,"Administrativa")</f>
        <v>0</v>
      </c>
      <c r="E12" s="7" t="e">
        <f>+D12/C12</f>
        <v>#DIV/0!</v>
      </c>
      <c r="F12" s="6">
        <f>+SUMIFS('Tesoro Escondido'!N:N,'Tesoro Escondido'!P:P,Override!A12,'Tesoro Escondido'!Q:Q,"No")</f>
        <v>0</v>
      </c>
      <c r="G12" s="8">
        <f>+D12+F12</f>
        <v>0</v>
      </c>
      <c r="H12" s="9">
        <v>1.5E-3</v>
      </c>
      <c r="I12" s="6">
        <f>+G12*H12</f>
        <v>0</v>
      </c>
      <c r="L12" s="4"/>
      <c r="M12" s="12"/>
    </row>
    <row r="13" spans="1:13" x14ac:dyDescent="0.3">
      <c r="A13" s="5" t="s">
        <v>13</v>
      </c>
      <c r="B13" s="5" t="s">
        <v>15</v>
      </c>
      <c r="C13" s="6">
        <f>+SUMIFS('Vegas de Venecia'!L:L,'Vegas de Venecia'!P:P,Override!A13,'Vegas de Venecia'!F:F,"Administrativa")</f>
        <v>0</v>
      </c>
      <c r="D13" s="6">
        <f>+SUMIFS('Vegas de Venecia'!M:M,'Vegas de Venecia'!P:P,Override!A13,'Vegas de Venecia'!F:F,"Administrativa")</f>
        <v>0</v>
      </c>
      <c r="E13" s="7" t="e">
        <f>+D13/C13</f>
        <v>#DIV/0!</v>
      </c>
      <c r="F13" s="6">
        <f>+SUMIFS('Vegas de Venecia'!N:N,'Vegas de Venecia'!P:P,Override!A13,'Vegas de Venecia'!Q:Q,"No")</f>
        <v>0</v>
      </c>
      <c r="G13" s="8">
        <f>+D13+F13</f>
        <v>0</v>
      </c>
      <c r="H13" s="9">
        <v>1.5E-3</v>
      </c>
      <c r="I13" s="6">
        <f>+G13*H13</f>
        <v>0</v>
      </c>
      <c r="L13" s="4"/>
      <c r="M13" s="12"/>
    </row>
    <row r="14" spans="1:13" x14ac:dyDescent="0.3">
      <c r="A14" s="5" t="s">
        <v>13</v>
      </c>
      <c r="B14" s="5" t="s">
        <v>10</v>
      </c>
      <c r="C14" s="6">
        <f>+SUMIFS('Sandville Beach'!L:L,'Sandville Beach'!P:P,Override!A14,'Sandville Beach'!F:F,"Administrativa")</f>
        <v>0</v>
      </c>
      <c r="D14" s="6">
        <f>+SUMIFS('Sandville Beach'!M:M,'Sandville Beach'!P:P,Override!A14,'Sandville Beach'!F:F,"Administrativa")</f>
        <v>0</v>
      </c>
      <c r="E14" s="7" t="e">
        <f>+D14/C14</f>
        <v>#DIV/0!</v>
      </c>
      <c r="F14" s="6">
        <f>+SUMIFS('Sandville Beach'!N:N,'Sandville Beach'!P:P,Override!A14,'Sandville Beach'!Q:Q,"No")</f>
        <v>0</v>
      </c>
      <c r="G14" s="8">
        <f>+D14+F14</f>
        <v>0</v>
      </c>
      <c r="H14" s="9">
        <v>1.5E-3</v>
      </c>
      <c r="I14" s="6">
        <f>+G14*H14</f>
        <v>0</v>
      </c>
      <c r="L14" s="4"/>
      <c r="M14" s="12"/>
    </row>
    <row r="15" spans="1:13" x14ac:dyDescent="0.3">
      <c r="A15" s="5" t="s">
        <v>13</v>
      </c>
      <c r="B15" s="5" t="s">
        <v>16</v>
      </c>
      <c r="C15" s="6">
        <f>+SUMIFS('Carmelo Reservado'!L:L,'Carmelo Reservado'!P:P,Override!A15,'Carmelo Reservado'!F:F,"Administrativa")</f>
        <v>0</v>
      </c>
      <c r="D15" s="6">
        <f>+SUMIFS('Carmelo Reservado'!M:M,'Carmelo Reservado'!P:P,Override!A15,'Carmelo Reservado'!F:F,"Administrativa")</f>
        <v>0</v>
      </c>
      <c r="E15" s="7" t="e">
        <f>+D15/C15</f>
        <v>#DIV/0!</v>
      </c>
      <c r="F15" s="6">
        <f>+SUMIFS('Carmelo Reservado'!N:N,'Carmelo Reservado'!P:P,Override!A15,'Carmelo Reservado'!Q:Q,"No")</f>
        <v>0</v>
      </c>
      <c r="G15" s="8">
        <f>+D15+F15</f>
        <v>0</v>
      </c>
      <c r="H15" s="9">
        <v>1.5E-3</v>
      </c>
      <c r="I15" s="6">
        <f>+G15*H15</f>
        <v>0</v>
      </c>
      <c r="L15" s="4"/>
      <c r="M15" s="12"/>
    </row>
    <row r="16" spans="1:13" x14ac:dyDescent="0.3">
      <c r="A16" s="5" t="s">
        <v>13</v>
      </c>
      <c r="B16" s="5" t="s">
        <v>11</v>
      </c>
      <c r="C16" s="6">
        <f>+SUMIFS('Perla del Mar'!L:L,'Perla del Mar'!P:P,Override!A16,'Perla del Mar'!F:F,"Administrativa")</f>
        <v>0</v>
      </c>
      <c r="D16" s="6">
        <f>+SUMIFS('Perla del Mar'!M:M,'Perla del Mar'!P:P,Override!A16,'Perla del Mar'!F:F,"Administrativa")</f>
        <v>0</v>
      </c>
      <c r="E16" s="7" t="e">
        <f>+D16/C16</f>
        <v>#DIV/0!</v>
      </c>
      <c r="F16" s="6">
        <f>+SUMIFS('Perla del Mar'!N:N,'Perla del Mar'!P:P,Override!A16,'Perla del Mar'!Q:Q,"No")</f>
        <v>0</v>
      </c>
      <c r="G16" s="8">
        <f>+D16+F16</f>
        <v>0</v>
      </c>
      <c r="H16" s="9">
        <v>1.5E-3</v>
      </c>
      <c r="I16" s="6">
        <f>+G16*H16</f>
        <v>0</v>
      </c>
      <c r="L16" s="4"/>
      <c r="M16" s="12"/>
    </row>
    <row r="17" spans="1:13" x14ac:dyDescent="0.3">
      <c r="A17" s="20" t="s">
        <v>18</v>
      </c>
      <c r="B17" s="21"/>
      <c r="C17" s="21"/>
      <c r="D17" s="21"/>
      <c r="E17" s="21"/>
      <c r="F17" s="21"/>
      <c r="G17" s="21"/>
      <c r="H17" s="22"/>
      <c r="I17" s="10">
        <f>SUM(I12:I16)</f>
        <v>0</v>
      </c>
      <c r="L17" s="4"/>
      <c r="M17" s="12"/>
    </row>
    <row r="18" spans="1:13" ht="28.8" customHeight="1" x14ac:dyDescent="0.3">
      <c r="A18" s="2" t="s">
        <v>0</v>
      </c>
      <c r="B18" s="2" t="s">
        <v>1</v>
      </c>
      <c r="C18" s="2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</row>
    <row r="19" spans="1:13" x14ac:dyDescent="0.3">
      <c r="A19" s="5" t="s">
        <v>13</v>
      </c>
      <c r="B19" s="5" t="s">
        <v>14</v>
      </c>
      <c r="C19" s="8">
        <f>+C12</f>
        <v>0</v>
      </c>
      <c r="D19" s="8">
        <f>+D12</f>
        <v>0</v>
      </c>
      <c r="E19" s="7" t="e">
        <f>+D19/C19</f>
        <v>#DIV/0!</v>
      </c>
      <c r="F19" s="8">
        <f>+F12</f>
        <v>0</v>
      </c>
      <c r="G19" s="8">
        <f>+F19+D19</f>
        <v>0</v>
      </c>
      <c r="H19" s="9" t="e">
        <f>+IF(Override!E19&lt;Escalas!$A$3,Escalas!$B$2,IF(Override!E19&lt;Escalas!$A$4,Escalas!$B$3,IF(Override!E19&lt;Escalas!$A$5,Escalas!$B$4,Escalas!$B$5)))</f>
        <v>#DIV/0!</v>
      </c>
      <c r="I19" s="6" t="e">
        <f>+G19*H19</f>
        <v>#DIV/0!</v>
      </c>
    </row>
    <row r="20" spans="1:13" x14ac:dyDescent="0.3">
      <c r="A20" s="5" t="s">
        <v>13</v>
      </c>
      <c r="B20" s="5" t="s">
        <v>15</v>
      </c>
      <c r="C20" s="8">
        <f>+C13</f>
        <v>0</v>
      </c>
      <c r="D20" s="8">
        <f>+D13</f>
        <v>0</v>
      </c>
      <c r="E20" s="7" t="e">
        <f>+D20/C20</f>
        <v>#DIV/0!</v>
      </c>
      <c r="F20" s="8">
        <f>+F13</f>
        <v>0</v>
      </c>
      <c r="G20" s="8">
        <f>+F20+D20</f>
        <v>0</v>
      </c>
      <c r="H20" s="9" t="e">
        <f>+IF(Override!E20&lt;Escalas!$A$3,Escalas!$B$2,IF(Override!E20&lt;Escalas!$A$4,Escalas!$B$3,IF(Override!E20&lt;Escalas!$A$5,Escalas!$B$4,Escalas!$B$5)))</f>
        <v>#DIV/0!</v>
      </c>
      <c r="I20" s="6" t="e">
        <f>+G20*H20</f>
        <v>#DIV/0!</v>
      </c>
    </row>
    <row r="21" spans="1:13" x14ac:dyDescent="0.3">
      <c r="A21" s="5" t="s">
        <v>13</v>
      </c>
      <c r="B21" s="5" t="s">
        <v>10</v>
      </c>
      <c r="C21" s="8">
        <f>+C14+C2</f>
        <v>0</v>
      </c>
      <c r="D21" s="8">
        <f>+D14+D2</f>
        <v>0</v>
      </c>
      <c r="E21" s="7" t="e">
        <f>+D21/C21</f>
        <v>#DIV/0!</v>
      </c>
      <c r="F21" s="8">
        <f>+F14+F2</f>
        <v>0</v>
      </c>
      <c r="G21" s="8">
        <f>+F21+D21</f>
        <v>0</v>
      </c>
      <c r="H21" s="9" t="e">
        <f>+IF(Override!E21&lt;Escalas!$A$3,Escalas!$B$2,IF(Override!E21&lt;Escalas!$A$4,Escalas!$B$3,IF(Override!E21&lt;Escalas!$A$5,Escalas!$B$4,Escalas!$B$5)))</f>
        <v>#DIV/0!</v>
      </c>
      <c r="I21" s="6" t="e">
        <f>+G21*H21</f>
        <v>#DIV/0!</v>
      </c>
    </row>
    <row r="22" spans="1:13" x14ac:dyDescent="0.3">
      <c r="A22" s="5" t="s">
        <v>13</v>
      </c>
      <c r="B22" s="5" t="s">
        <v>11</v>
      </c>
      <c r="C22" s="8">
        <f>+C16+C3</f>
        <v>0</v>
      </c>
      <c r="D22" s="8">
        <f>+D16+D3</f>
        <v>0</v>
      </c>
      <c r="E22" s="7" t="e">
        <f>+D22/C22</f>
        <v>#DIV/0!</v>
      </c>
      <c r="F22" s="8">
        <f>+F16+F3+'Perla del Mar'!N37+'Perla del Mar'!N40</f>
        <v>0</v>
      </c>
      <c r="G22" s="8">
        <f>+F22+D22</f>
        <v>0</v>
      </c>
      <c r="H22" s="9" t="e">
        <f>+IF(Override!E22&lt;Escalas!$A$3,Escalas!$B$2,IF(Override!E22&lt;Escalas!$A$4,Escalas!$B$3,IF(Override!E22&lt;Escalas!$A$5,Escalas!$B$4,Escalas!$B$5)))</f>
        <v>#DIV/0!</v>
      </c>
      <c r="I22" s="6" t="e">
        <f>+G22*H22</f>
        <v>#DIV/0!</v>
      </c>
    </row>
    <row r="23" spans="1:13" x14ac:dyDescent="0.3">
      <c r="A23" s="20" t="s">
        <v>19</v>
      </c>
      <c r="B23" s="21"/>
      <c r="C23" s="21"/>
      <c r="D23" s="21"/>
      <c r="E23" s="21"/>
      <c r="F23" s="21"/>
      <c r="G23" s="21"/>
      <c r="H23" s="22"/>
      <c r="I23" s="10" t="e">
        <f>SUM(I19:I22)</f>
        <v>#DIV/0!</v>
      </c>
    </row>
    <row r="24" spans="1:13" x14ac:dyDescent="0.3">
      <c r="A24" s="23" t="s">
        <v>39</v>
      </c>
      <c r="B24" s="24"/>
      <c r="C24" s="24"/>
      <c r="D24" s="24"/>
      <c r="E24" s="24"/>
      <c r="F24" s="24"/>
      <c r="G24" s="24"/>
      <c r="H24" s="25"/>
      <c r="I24" s="19" t="e">
        <f>+I23+I17+I10</f>
        <v>#DIV/0!</v>
      </c>
    </row>
  </sheetData>
  <mergeCells count="5">
    <mergeCell ref="A17:H17"/>
    <mergeCell ref="A4:H4"/>
    <mergeCell ref="A23:H23"/>
    <mergeCell ref="A10:H10"/>
    <mergeCell ref="A24:H24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selection activeCell="C18" sqref="C18"/>
    </sheetView>
  </sheetViews>
  <sheetFormatPr baseColWidth="10" defaultColWidth="10.5546875" defaultRowHeight="14.4" x14ac:dyDescent="0.3"/>
  <cols>
    <col min="1" max="1" width="16.33203125" customWidth="1"/>
  </cols>
  <sheetData>
    <row r="1" spans="1:2" ht="28.8" customHeight="1" x14ac:dyDescent="0.3">
      <c r="A1" s="13" t="s">
        <v>20</v>
      </c>
      <c r="B1" s="13" t="s">
        <v>21</v>
      </c>
    </row>
    <row r="2" spans="1:2" x14ac:dyDescent="0.3">
      <c r="A2" s="14">
        <v>0.4</v>
      </c>
      <c r="B2" s="9">
        <v>1E-3</v>
      </c>
    </row>
    <row r="3" spans="1:2" x14ac:dyDescent="0.3">
      <c r="A3" s="14">
        <v>0.6</v>
      </c>
      <c r="B3" s="9">
        <v>1.1999999999999999E-3</v>
      </c>
    </row>
    <row r="4" spans="1:2" x14ac:dyDescent="0.3">
      <c r="A4" s="14">
        <v>0.9</v>
      </c>
      <c r="B4" s="9">
        <v>1.4E-3</v>
      </c>
    </row>
    <row r="5" spans="1:2" x14ac:dyDescent="0.3">
      <c r="A5" s="14">
        <v>1</v>
      </c>
      <c r="B5" s="9">
        <v>1.6000000000000001E-3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"/>
  <sheetViews>
    <sheetView zoomScale="70" zoomScaleNormal="70" workbookViewId="0"/>
  </sheetViews>
  <sheetFormatPr baseColWidth="10" defaultColWidth="10.5546875" defaultRowHeight="14.4" x14ac:dyDescent="0.3"/>
  <cols>
    <col min="1" max="1" width="10.5546875" style="15" customWidth="1"/>
    <col min="2" max="2" width="31.6640625" style="15" customWidth="1"/>
    <col min="3" max="7" width="10.5546875" style="15" customWidth="1"/>
    <col min="8" max="8" width="16" style="15" bestFit="1" customWidth="1"/>
    <col min="9" max="9" width="18.109375" style="15" customWidth="1"/>
    <col min="10" max="10" width="21.21875" style="15" customWidth="1"/>
    <col min="11" max="11" width="14.5546875" style="15" customWidth="1"/>
    <col min="12" max="12" width="22.88671875" style="15" customWidth="1"/>
    <col min="13" max="13" width="14.5546875" style="15" customWidth="1"/>
    <col min="14" max="14" width="22.6640625" style="15" customWidth="1"/>
    <col min="15" max="15" width="17.88671875" style="15" customWidth="1"/>
    <col min="16" max="16" width="21.109375" style="15" customWidth="1"/>
    <col min="17" max="20" width="10.5546875" style="15" customWidth="1"/>
  </cols>
  <sheetData>
    <row r="1" spans="1:1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">
      <c r="A2"/>
      <c r="B2"/>
      <c r="C2"/>
      <c r="D2"/>
      <c r="E2"/>
      <c r="F2"/>
      <c r="G2"/>
      <c r="P2"/>
    </row>
    <row r="3" spans="1:17" x14ac:dyDescent="0.3">
      <c r="A3"/>
      <c r="B3"/>
      <c r="C3"/>
      <c r="D3"/>
      <c r="E3"/>
      <c r="F3"/>
      <c r="G3"/>
      <c r="P3"/>
    </row>
    <row r="4" spans="1:17" x14ac:dyDescent="0.3">
      <c r="A4"/>
      <c r="B4"/>
      <c r="C4"/>
      <c r="D4"/>
      <c r="E4"/>
      <c r="F4"/>
      <c r="G4"/>
      <c r="P4"/>
    </row>
    <row r="5" spans="1:17" x14ac:dyDescent="0.3">
      <c r="A5"/>
      <c r="B5"/>
      <c r="C5"/>
      <c r="D5"/>
      <c r="E5"/>
      <c r="F5"/>
      <c r="G5"/>
      <c r="P5"/>
    </row>
    <row r="6" spans="1:17" x14ac:dyDescent="0.3">
      <c r="A6"/>
      <c r="B6"/>
      <c r="C6"/>
      <c r="D6"/>
      <c r="E6"/>
      <c r="F6"/>
      <c r="G6"/>
      <c r="P6"/>
    </row>
    <row r="7" spans="1:17" x14ac:dyDescent="0.3">
      <c r="A7"/>
      <c r="B7"/>
      <c r="C7"/>
      <c r="D7"/>
      <c r="E7"/>
      <c r="F7"/>
      <c r="G7"/>
      <c r="P7"/>
    </row>
    <row r="8" spans="1:17" x14ac:dyDescent="0.3">
      <c r="A8"/>
      <c r="B8"/>
      <c r="C8"/>
      <c r="D8"/>
      <c r="E8"/>
      <c r="F8"/>
      <c r="G8"/>
      <c r="P8"/>
    </row>
    <row r="9" spans="1:17" x14ac:dyDescent="0.3">
      <c r="A9"/>
      <c r="B9"/>
      <c r="C9"/>
      <c r="D9"/>
      <c r="E9"/>
      <c r="F9"/>
      <c r="G9"/>
      <c r="P9"/>
    </row>
    <row r="10" spans="1:17" x14ac:dyDescent="0.3">
      <c r="A10"/>
      <c r="B10"/>
      <c r="C10"/>
      <c r="D10"/>
      <c r="E10"/>
      <c r="F10"/>
      <c r="G10"/>
      <c r="P10"/>
    </row>
    <row r="11" spans="1:17" x14ac:dyDescent="0.3">
      <c r="A11"/>
      <c r="B11"/>
      <c r="C11"/>
      <c r="D11"/>
      <c r="E11"/>
      <c r="F11"/>
      <c r="G11"/>
      <c r="P11"/>
    </row>
    <row r="12" spans="1:17" x14ac:dyDescent="0.3">
      <c r="A12"/>
      <c r="B12"/>
      <c r="C12"/>
      <c r="D12"/>
      <c r="E12"/>
      <c r="F12"/>
      <c r="G12"/>
      <c r="P12"/>
    </row>
    <row r="13" spans="1:17" x14ac:dyDescent="0.3">
      <c r="A13"/>
      <c r="B13"/>
      <c r="C13"/>
      <c r="D13"/>
      <c r="E13"/>
      <c r="F13"/>
      <c r="G13"/>
      <c r="P13"/>
    </row>
    <row r="14" spans="1:17" x14ac:dyDescent="0.3">
      <c r="A14"/>
      <c r="B14"/>
      <c r="C14"/>
      <c r="D14"/>
      <c r="E14"/>
      <c r="F14"/>
      <c r="G14"/>
      <c r="P14"/>
    </row>
    <row r="15" spans="1:17" x14ac:dyDescent="0.3">
      <c r="A15"/>
      <c r="B15"/>
      <c r="C15"/>
      <c r="D15"/>
      <c r="E15"/>
      <c r="F15"/>
      <c r="G15"/>
      <c r="P15"/>
    </row>
    <row r="16" spans="1:17" x14ac:dyDescent="0.3">
      <c r="A16"/>
      <c r="B16"/>
      <c r="C16"/>
      <c r="D16"/>
      <c r="E16"/>
      <c r="F16"/>
      <c r="G16"/>
      <c r="P16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0"/>
  <sheetViews>
    <sheetView zoomScale="60" zoomScaleNormal="60" workbookViewId="0"/>
  </sheetViews>
  <sheetFormatPr baseColWidth="10" defaultColWidth="10.5546875" defaultRowHeight="14.4" x14ac:dyDescent="0.3"/>
  <cols>
    <col min="1" max="1" width="10.5546875" style="15" customWidth="1"/>
    <col min="2" max="2" width="44.21875" style="15" customWidth="1"/>
    <col min="3" max="5" width="10.5546875" style="15" customWidth="1"/>
    <col min="6" max="6" width="13.5546875" style="15" customWidth="1"/>
    <col min="7" max="7" width="10.5546875" style="15" customWidth="1"/>
    <col min="8" max="8" width="16.21875" style="15" customWidth="1"/>
    <col min="9" max="9" width="19.109375" style="15" customWidth="1"/>
    <col min="10" max="10" width="22.21875" style="15" customWidth="1"/>
    <col min="11" max="12" width="23.33203125" style="15" customWidth="1"/>
    <col min="13" max="13" width="18.5546875" style="15" customWidth="1"/>
    <col min="14" max="14" width="25.21875" style="15" customWidth="1"/>
    <col min="15" max="15" width="20" style="15" customWidth="1"/>
    <col min="16" max="16" width="24.33203125" style="15" bestFit="1" customWidth="1"/>
    <col min="17" max="24" width="10.5546875" style="15" customWidth="1"/>
  </cols>
  <sheetData>
    <row r="1" spans="1:1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">
      <c r="A2"/>
      <c r="B2"/>
      <c r="C2"/>
      <c r="D2"/>
      <c r="E2"/>
      <c r="F2"/>
      <c r="G2"/>
      <c r="P2"/>
    </row>
    <row r="3" spans="1:17" x14ac:dyDescent="0.3">
      <c r="A3"/>
      <c r="B3"/>
      <c r="C3"/>
      <c r="D3"/>
      <c r="E3"/>
      <c r="F3"/>
      <c r="G3"/>
      <c r="P3"/>
    </row>
    <row r="4" spans="1:17" x14ac:dyDescent="0.3">
      <c r="A4"/>
      <c r="B4"/>
      <c r="C4"/>
      <c r="D4"/>
      <c r="E4"/>
      <c r="F4"/>
      <c r="G4"/>
      <c r="P4"/>
    </row>
    <row r="5" spans="1:17" x14ac:dyDescent="0.3">
      <c r="A5"/>
      <c r="B5"/>
      <c r="C5"/>
      <c r="D5"/>
      <c r="E5"/>
      <c r="F5"/>
      <c r="G5"/>
      <c r="P5"/>
    </row>
    <row r="6" spans="1:17" x14ac:dyDescent="0.3">
      <c r="A6"/>
      <c r="B6"/>
      <c r="C6"/>
      <c r="D6"/>
      <c r="E6"/>
      <c r="F6"/>
      <c r="G6"/>
      <c r="P6"/>
    </row>
    <row r="7" spans="1:17" x14ac:dyDescent="0.3">
      <c r="A7"/>
      <c r="B7"/>
      <c r="C7"/>
      <c r="D7"/>
      <c r="E7"/>
      <c r="F7"/>
      <c r="G7"/>
      <c r="P7"/>
    </row>
    <row r="8" spans="1:17" x14ac:dyDescent="0.3">
      <c r="A8"/>
      <c r="B8"/>
      <c r="C8"/>
      <c r="D8"/>
      <c r="E8"/>
      <c r="F8"/>
      <c r="G8"/>
      <c r="P8"/>
    </row>
    <row r="9" spans="1:17" x14ac:dyDescent="0.3">
      <c r="A9"/>
      <c r="B9"/>
      <c r="C9"/>
      <c r="D9"/>
      <c r="E9"/>
      <c r="F9"/>
      <c r="G9"/>
      <c r="P9"/>
    </row>
    <row r="10" spans="1:17" x14ac:dyDescent="0.3">
      <c r="A10"/>
      <c r="B10"/>
      <c r="C10"/>
      <c r="D10"/>
      <c r="E10"/>
      <c r="F10"/>
      <c r="G10"/>
      <c r="P10"/>
    </row>
    <row r="11" spans="1:17" x14ac:dyDescent="0.3">
      <c r="A11"/>
      <c r="B11"/>
      <c r="C11"/>
      <c r="D11"/>
      <c r="E11"/>
      <c r="F11"/>
      <c r="G11"/>
      <c r="P11"/>
    </row>
    <row r="12" spans="1:17" x14ac:dyDescent="0.3">
      <c r="A12"/>
      <c r="B12"/>
      <c r="C12"/>
      <c r="D12"/>
      <c r="E12"/>
      <c r="F12"/>
      <c r="G12"/>
      <c r="P12"/>
    </row>
    <row r="13" spans="1:17" x14ac:dyDescent="0.3">
      <c r="A13"/>
      <c r="B13"/>
      <c r="C13"/>
      <c r="D13"/>
      <c r="E13"/>
      <c r="F13"/>
      <c r="G13"/>
      <c r="P13"/>
    </row>
    <row r="14" spans="1:17" x14ac:dyDescent="0.3">
      <c r="A14"/>
      <c r="B14"/>
      <c r="C14"/>
      <c r="D14"/>
      <c r="E14"/>
      <c r="F14"/>
      <c r="G14"/>
      <c r="P14"/>
    </row>
    <row r="15" spans="1:17" x14ac:dyDescent="0.3">
      <c r="A15"/>
      <c r="B15"/>
      <c r="C15"/>
      <c r="D15"/>
      <c r="E15"/>
      <c r="F15"/>
      <c r="G15"/>
      <c r="P15"/>
    </row>
    <row r="16" spans="1:17" x14ac:dyDescent="0.3">
      <c r="A16"/>
      <c r="B16"/>
      <c r="C16"/>
      <c r="D16"/>
      <c r="E16"/>
      <c r="F16"/>
      <c r="G16"/>
      <c r="P16"/>
    </row>
    <row r="17" spans="1:16" x14ac:dyDescent="0.3">
      <c r="A17"/>
      <c r="B17"/>
      <c r="C17"/>
      <c r="D17"/>
      <c r="E17"/>
      <c r="F17"/>
      <c r="G17"/>
      <c r="P17"/>
    </row>
    <row r="18" spans="1:16" x14ac:dyDescent="0.3">
      <c r="A18"/>
      <c r="B18"/>
      <c r="C18"/>
      <c r="D18"/>
      <c r="E18"/>
      <c r="F18"/>
      <c r="G18"/>
      <c r="P18"/>
    </row>
    <row r="19" spans="1:16" x14ac:dyDescent="0.3">
      <c r="A19"/>
      <c r="B19"/>
      <c r="C19"/>
      <c r="D19"/>
      <c r="E19"/>
      <c r="F19"/>
      <c r="G19"/>
      <c r="P19"/>
    </row>
    <row r="20" spans="1:16" x14ac:dyDescent="0.3">
      <c r="A20"/>
      <c r="B20"/>
      <c r="C20"/>
      <c r="D20"/>
      <c r="E20"/>
      <c r="F20"/>
      <c r="G20"/>
      <c r="P20"/>
    </row>
    <row r="21" spans="1:16" x14ac:dyDescent="0.3">
      <c r="A21"/>
      <c r="B21"/>
      <c r="C21"/>
      <c r="D21"/>
      <c r="E21"/>
      <c r="F21"/>
      <c r="G21"/>
      <c r="P21"/>
    </row>
    <row r="22" spans="1:16" x14ac:dyDescent="0.3">
      <c r="A22"/>
      <c r="B22"/>
      <c r="C22"/>
      <c r="D22"/>
      <c r="E22"/>
      <c r="F22"/>
      <c r="G22"/>
      <c r="P22"/>
    </row>
    <row r="23" spans="1:16" x14ac:dyDescent="0.3">
      <c r="A23"/>
      <c r="B23"/>
      <c r="C23"/>
      <c r="D23"/>
      <c r="E23"/>
      <c r="F23"/>
      <c r="G23"/>
      <c r="P23"/>
    </row>
    <row r="24" spans="1:16" x14ac:dyDescent="0.3">
      <c r="A24"/>
      <c r="B24"/>
      <c r="C24"/>
      <c r="D24"/>
      <c r="E24"/>
      <c r="F24"/>
      <c r="G24"/>
      <c r="P24"/>
    </row>
    <row r="25" spans="1:16" x14ac:dyDescent="0.3">
      <c r="A25"/>
      <c r="B25"/>
      <c r="C25"/>
      <c r="D25"/>
      <c r="E25"/>
      <c r="F25"/>
      <c r="G25"/>
      <c r="P25"/>
    </row>
    <row r="26" spans="1:16" x14ac:dyDescent="0.3">
      <c r="A26"/>
      <c r="B26"/>
      <c r="C26"/>
      <c r="D26"/>
      <c r="E26"/>
      <c r="F26"/>
      <c r="G26"/>
      <c r="P26"/>
    </row>
    <row r="27" spans="1:16" x14ac:dyDescent="0.3">
      <c r="A27"/>
      <c r="B27"/>
      <c r="C27"/>
      <c r="D27"/>
      <c r="E27"/>
      <c r="F27"/>
      <c r="G27"/>
      <c r="P27"/>
    </row>
    <row r="28" spans="1:16" x14ac:dyDescent="0.3">
      <c r="A28"/>
      <c r="B28"/>
      <c r="C28"/>
      <c r="D28"/>
      <c r="E28"/>
      <c r="F28"/>
      <c r="G28"/>
      <c r="P28"/>
    </row>
    <row r="29" spans="1:16" x14ac:dyDescent="0.3">
      <c r="A29"/>
      <c r="B29"/>
      <c r="C29"/>
      <c r="D29"/>
      <c r="E29"/>
      <c r="F29"/>
      <c r="G29"/>
      <c r="P29"/>
    </row>
    <row r="30" spans="1:16" x14ac:dyDescent="0.3">
      <c r="A30"/>
      <c r="B30"/>
      <c r="C30"/>
      <c r="D30"/>
      <c r="E30"/>
      <c r="F30"/>
      <c r="G30"/>
      <c r="P30"/>
    </row>
    <row r="31" spans="1:16" x14ac:dyDescent="0.3">
      <c r="A31"/>
      <c r="B31"/>
      <c r="C31"/>
      <c r="D31"/>
      <c r="E31"/>
      <c r="F31"/>
      <c r="G31"/>
      <c r="P31"/>
    </row>
    <row r="32" spans="1:16" x14ac:dyDescent="0.3">
      <c r="A32"/>
      <c r="B32"/>
      <c r="C32"/>
      <c r="D32"/>
      <c r="E32"/>
      <c r="F32"/>
      <c r="G32"/>
      <c r="P32"/>
    </row>
    <row r="33" spans="1:16" x14ac:dyDescent="0.3">
      <c r="A33"/>
      <c r="B33"/>
      <c r="C33"/>
      <c r="D33"/>
      <c r="E33"/>
      <c r="F33"/>
      <c r="G33"/>
      <c r="P33"/>
    </row>
    <row r="34" spans="1:16" x14ac:dyDescent="0.3">
      <c r="A34"/>
      <c r="B34"/>
      <c r="C34"/>
      <c r="D34"/>
      <c r="E34"/>
      <c r="F34"/>
      <c r="G34"/>
      <c r="P34"/>
    </row>
    <row r="35" spans="1:16" x14ac:dyDescent="0.3">
      <c r="A35"/>
      <c r="B35"/>
      <c r="C35"/>
      <c r="D35"/>
      <c r="E35"/>
      <c r="F35"/>
      <c r="G35"/>
      <c r="P35"/>
    </row>
    <row r="36" spans="1:16" x14ac:dyDescent="0.3">
      <c r="A36"/>
      <c r="B36"/>
      <c r="C36"/>
      <c r="D36"/>
      <c r="E36"/>
      <c r="F36"/>
      <c r="G36"/>
      <c r="P36"/>
    </row>
    <row r="37" spans="1:16" x14ac:dyDescent="0.3">
      <c r="A37"/>
      <c r="B37"/>
      <c r="C37"/>
      <c r="D37"/>
      <c r="E37"/>
      <c r="F37"/>
      <c r="G37"/>
      <c r="P37"/>
    </row>
    <row r="38" spans="1:16" x14ac:dyDescent="0.3">
      <c r="A38"/>
      <c r="B38"/>
      <c r="C38"/>
      <c r="D38"/>
      <c r="E38"/>
      <c r="F38"/>
      <c r="G38"/>
      <c r="P38"/>
    </row>
    <row r="39" spans="1:16" x14ac:dyDescent="0.3">
      <c r="A39"/>
      <c r="B39"/>
      <c r="C39"/>
      <c r="D39"/>
      <c r="E39"/>
      <c r="F39"/>
      <c r="G39"/>
      <c r="P39"/>
    </row>
    <row r="40" spans="1:16" x14ac:dyDescent="0.3">
      <c r="A40"/>
      <c r="B40"/>
      <c r="C40"/>
      <c r="D40"/>
      <c r="E40"/>
      <c r="F40"/>
      <c r="G40"/>
      <c r="P40"/>
    </row>
    <row r="41" spans="1:16" x14ac:dyDescent="0.3">
      <c r="A41"/>
      <c r="B41"/>
      <c r="C41"/>
      <c r="D41"/>
      <c r="E41"/>
      <c r="F41"/>
      <c r="G41"/>
      <c r="P41"/>
    </row>
    <row r="42" spans="1:16" x14ac:dyDescent="0.3">
      <c r="A42"/>
      <c r="B42"/>
      <c r="C42"/>
      <c r="D42"/>
      <c r="E42"/>
      <c r="F42"/>
      <c r="G42"/>
      <c r="P42"/>
    </row>
    <row r="43" spans="1:16" x14ac:dyDescent="0.3">
      <c r="A43"/>
      <c r="B43"/>
      <c r="C43"/>
      <c r="D43"/>
      <c r="E43"/>
      <c r="F43"/>
      <c r="G43"/>
      <c r="P43"/>
    </row>
    <row r="44" spans="1:16" x14ac:dyDescent="0.3">
      <c r="A44"/>
      <c r="B44"/>
      <c r="C44"/>
      <c r="D44"/>
      <c r="E44"/>
      <c r="F44"/>
      <c r="G44"/>
      <c r="P44"/>
    </row>
    <row r="45" spans="1:16" x14ac:dyDescent="0.3">
      <c r="A45"/>
      <c r="B45"/>
      <c r="C45"/>
      <c r="D45"/>
      <c r="E45"/>
      <c r="F45"/>
      <c r="G45"/>
      <c r="P45"/>
    </row>
    <row r="46" spans="1:16" x14ac:dyDescent="0.3">
      <c r="A46"/>
      <c r="B46"/>
      <c r="C46"/>
      <c r="D46"/>
      <c r="E46"/>
      <c r="F46"/>
      <c r="G46"/>
      <c r="P46"/>
    </row>
    <row r="47" spans="1:16" x14ac:dyDescent="0.3">
      <c r="A47"/>
      <c r="B47"/>
      <c r="C47"/>
      <c r="D47"/>
      <c r="E47"/>
      <c r="F47"/>
      <c r="G47"/>
      <c r="P47"/>
    </row>
    <row r="48" spans="1:16" x14ac:dyDescent="0.3">
      <c r="A48"/>
      <c r="B48"/>
      <c r="C48"/>
      <c r="D48"/>
      <c r="E48"/>
      <c r="F48"/>
      <c r="G48"/>
      <c r="P48"/>
    </row>
    <row r="49" spans="1:16" x14ac:dyDescent="0.3">
      <c r="A49"/>
      <c r="B49"/>
      <c r="C49"/>
      <c r="D49"/>
      <c r="E49"/>
      <c r="F49"/>
      <c r="G49"/>
      <c r="P49"/>
    </row>
    <row r="50" spans="1:16" x14ac:dyDescent="0.3">
      <c r="A50"/>
      <c r="B50"/>
      <c r="C50"/>
      <c r="D50"/>
      <c r="E50"/>
      <c r="F50"/>
      <c r="G50"/>
      <c r="P50"/>
    </row>
    <row r="51" spans="1:16" x14ac:dyDescent="0.3">
      <c r="A51"/>
      <c r="B51"/>
      <c r="C51"/>
      <c r="D51"/>
      <c r="E51"/>
      <c r="F51"/>
      <c r="G51"/>
      <c r="P51"/>
    </row>
    <row r="52" spans="1:16" x14ac:dyDescent="0.3">
      <c r="A52"/>
      <c r="B52"/>
      <c r="C52"/>
      <c r="D52"/>
      <c r="E52"/>
      <c r="F52"/>
      <c r="G52"/>
      <c r="P52"/>
    </row>
    <row r="53" spans="1:16" x14ac:dyDescent="0.3">
      <c r="A53"/>
      <c r="B53"/>
      <c r="C53"/>
      <c r="D53"/>
      <c r="E53"/>
      <c r="F53"/>
      <c r="G53"/>
      <c r="P53"/>
    </row>
    <row r="54" spans="1:16" x14ac:dyDescent="0.3">
      <c r="A54"/>
      <c r="B54"/>
      <c r="C54"/>
      <c r="D54"/>
      <c r="E54"/>
      <c r="F54"/>
      <c r="G54"/>
      <c r="P54"/>
    </row>
    <row r="55" spans="1:16" x14ac:dyDescent="0.3">
      <c r="A55"/>
      <c r="B55"/>
      <c r="C55"/>
      <c r="D55"/>
      <c r="E55"/>
      <c r="F55"/>
      <c r="G55"/>
      <c r="P55"/>
    </row>
    <row r="56" spans="1:16" x14ac:dyDescent="0.3">
      <c r="A56"/>
      <c r="B56"/>
      <c r="C56"/>
      <c r="D56"/>
      <c r="E56"/>
      <c r="F56"/>
      <c r="G56"/>
      <c r="P56"/>
    </row>
    <row r="57" spans="1:16" x14ac:dyDescent="0.3">
      <c r="A57"/>
      <c r="B57"/>
      <c r="C57"/>
      <c r="D57"/>
      <c r="E57"/>
      <c r="F57"/>
      <c r="G57"/>
      <c r="P57"/>
    </row>
    <row r="58" spans="1:16" x14ac:dyDescent="0.3">
      <c r="A58"/>
      <c r="B58"/>
      <c r="C58"/>
      <c r="D58"/>
      <c r="E58"/>
      <c r="F58"/>
      <c r="G58"/>
      <c r="P58"/>
    </row>
    <row r="59" spans="1:16" x14ac:dyDescent="0.3">
      <c r="A59"/>
      <c r="B59"/>
      <c r="C59"/>
      <c r="D59"/>
      <c r="E59"/>
      <c r="F59"/>
      <c r="G59"/>
      <c r="P59"/>
    </row>
    <row r="60" spans="1:16" x14ac:dyDescent="0.3">
      <c r="A60"/>
      <c r="B60"/>
      <c r="C60"/>
      <c r="D60"/>
      <c r="E60"/>
      <c r="F60"/>
      <c r="G60"/>
      <c r="P60"/>
    </row>
    <row r="61" spans="1:16" x14ac:dyDescent="0.3">
      <c r="A61"/>
      <c r="B61"/>
      <c r="C61"/>
      <c r="D61"/>
      <c r="E61"/>
      <c r="F61"/>
      <c r="G61"/>
      <c r="P61"/>
    </row>
    <row r="62" spans="1:16" x14ac:dyDescent="0.3">
      <c r="A62"/>
      <c r="B62"/>
      <c r="C62"/>
      <c r="D62"/>
      <c r="E62"/>
      <c r="F62"/>
      <c r="G62"/>
      <c r="P62"/>
    </row>
    <row r="63" spans="1:16" x14ac:dyDescent="0.3">
      <c r="A63"/>
      <c r="B63"/>
      <c r="C63"/>
      <c r="D63"/>
      <c r="E63"/>
      <c r="F63"/>
      <c r="G63"/>
      <c r="P63"/>
    </row>
    <row r="64" spans="1:16" x14ac:dyDescent="0.3">
      <c r="A64"/>
      <c r="B64"/>
      <c r="C64"/>
      <c r="D64"/>
      <c r="E64"/>
      <c r="F64"/>
      <c r="G64"/>
      <c r="P64"/>
    </row>
    <row r="65" spans="1:16" x14ac:dyDescent="0.3">
      <c r="A65"/>
      <c r="B65"/>
      <c r="C65"/>
      <c r="D65"/>
      <c r="E65"/>
      <c r="F65"/>
      <c r="G65"/>
      <c r="P65"/>
    </row>
    <row r="66" spans="1:16" x14ac:dyDescent="0.3">
      <c r="A66"/>
      <c r="B66"/>
      <c r="C66"/>
      <c r="D66"/>
      <c r="E66"/>
      <c r="F66"/>
      <c r="G66"/>
      <c r="P66"/>
    </row>
    <row r="67" spans="1:16" x14ac:dyDescent="0.3">
      <c r="A67"/>
      <c r="B67"/>
      <c r="C67"/>
      <c r="D67"/>
      <c r="E67"/>
      <c r="F67"/>
      <c r="G67"/>
      <c r="P67"/>
    </row>
    <row r="68" spans="1:16" x14ac:dyDescent="0.3">
      <c r="A68"/>
      <c r="B68"/>
      <c r="C68"/>
      <c r="D68"/>
      <c r="E68"/>
      <c r="F68"/>
      <c r="G68"/>
      <c r="P68"/>
    </row>
    <row r="69" spans="1:16" x14ac:dyDescent="0.3">
      <c r="A69"/>
      <c r="B69"/>
      <c r="C69"/>
      <c r="D69"/>
      <c r="E69"/>
      <c r="F69"/>
      <c r="G69"/>
      <c r="P69"/>
    </row>
    <row r="70" spans="1:16" x14ac:dyDescent="0.3">
      <c r="A70"/>
      <c r="B70"/>
      <c r="C70"/>
      <c r="D70"/>
      <c r="E70"/>
      <c r="F70"/>
      <c r="G70"/>
      <c r="P70"/>
    </row>
    <row r="71" spans="1:16" x14ac:dyDescent="0.3">
      <c r="A71"/>
      <c r="B71"/>
      <c r="C71"/>
      <c r="D71"/>
      <c r="E71"/>
      <c r="F71"/>
      <c r="G71"/>
      <c r="P71"/>
    </row>
    <row r="72" spans="1:16" x14ac:dyDescent="0.3">
      <c r="A72"/>
      <c r="B72"/>
      <c r="C72"/>
      <c r="D72"/>
      <c r="E72"/>
      <c r="F72"/>
      <c r="G72"/>
      <c r="P72"/>
    </row>
    <row r="73" spans="1:16" x14ac:dyDescent="0.3">
      <c r="A73"/>
      <c r="B73"/>
      <c r="C73"/>
      <c r="D73"/>
      <c r="E73"/>
      <c r="F73"/>
      <c r="G73"/>
      <c r="P73"/>
    </row>
    <row r="74" spans="1:16" x14ac:dyDescent="0.3">
      <c r="A74"/>
      <c r="B74"/>
      <c r="C74"/>
      <c r="D74"/>
      <c r="E74"/>
      <c r="F74"/>
      <c r="G74"/>
      <c r="P74"/>
    </row>
    <row r="75" spans="1:16" x14ac:dyDescent="0.3">
      <c r="A75"/>
      <c r="B75"/>
      <c r="C75"/>
      <c r="D75"/>
      <c r="E75"/>
      <c r="F75"/>
      <c r="G75"/>
      <c r="P75"/>
    </row>
    <row r="76" spans="1:16" x14ac:dyDescent="0.3">
      <c r="A76"/>
      <c r="B76"/>
      <c r="C76"/>
      <c r="D76"/>
      <c r="E76"/>
      <c r="F76"/>
      <c r="G76"/>
      <c r="P76"/>
    </row>
    <row r="77" spans="1:16" x14ac:dyDescent="0.3">
      <c r="A77"/>
      <c r="B77"/>
      <c r="C77"/>
      <c r="D77"/>
      <c r="E77"/>
      <c r="F77"/>
      <c r="G77"/>
      <c r="P77"/>
    </row>
    <row r="78" spans="1:16" x14ac:dyDescent="0.3">
      <c r="A78"/>
      <c r="B78"/>
      <c r="C78"/>
      <c r="D78"/>
      <c r="E78"/>
      <c r="F78"/>
      <c r="G78"/>
      <c r="P78"/>
    </row>
    <row r="79" spans="1:16" x14ac:dyDescent="0.3">
      <c r="A79"/>
      <c r="B79"/>
      <c r="C79"/>
      <c r="D79"/>
      <c r="E79"/>
      <c r="F79"/>
      <c r="G79"/>
      <c r="P79"/>
    </row>
    <row r="80" spans="1:16" x14ac:dyDescent="0.3">
      <c r="A80"/>
      <c r="B80"/>
      <c r="C80"/>
      <c r="D80"/>
      <c r="E80"/>
      <c r="F80"/>
      <c r="G80"/>
      <c r="P80"/>
    </row>
    <row r="81" spans="1:16" x14ac:dyDescent="0.3">
      <c r="A81"/>
      <c r="B81"/>
      <c r="C81"/>
      <c r="D81"/>
      <c r="E81"/>
      <c r="F81"/>
      <c r="G81"/>
      <c r="P81"/>
    </row>
    <row r="82" spans="1:16" x14ac:dyDescent="0.3">
      <c r="A82"/>
      <c r="B82"/>
      <c r="C82"/>
      <c r="D82"/>
      <c r="E82"/>
      <c r="F82"/>
      <c r="G82"/>
      <c r="P82"/>
    </row>
    <row r="83" spans="1:16" x14ac:dyDescent="0.3">
      <c r="A83"/>
      <c r="B83"/>
      <c r="C83"/>
      <c r="D83"/>
      <c r="E83"/>
      <c r="F83"/>
      <c r="G83"/>
      <c r="P83"/>
    </row>
    <row r="84" spans="1:16" x14ac:dyDescent="0.3">
      <c r="A84"/>
      <c r="B84"/>
      <c r="C84"/>
      <c r="D84"/>
      <c r="E84"/>
      <c r="F84"/>
      <c r="G84"/>
      <c r="P84"/>
    </row>
    <row r="85" spans="1:16" x14ac:dyDescent="0.3">
      <c r="A85"/>
      <c r="B85"/>
      <c r="C85"/>
      <c r="D85"/>
      <c r="E85"/>
      <c r="F85"/>
      <c r="G85"/>
      <c r="P85"/>
    </row>
    <row r="86" spans="1:16" x14ac:dyDescent="0.3">
      <c r="A86"/>
      <c r="B86"/>
      <c r="C86"/>
      <c r="D86"/>
      <c r="E86"/>
      <c r="F86"/>
      <c r="G86"/>
      <c r="P86"/>
    </row>
    <row r="87" spans="1:16" x14ac:dyDescent="0.3">
      <c r="A87"/>
      <c r="B87"/>
      <c r="C87"/>
      <c r="D87"/>
      <c r="E87"/>
      <c r="F87"/>
      <c r="G87"/>
      <c r="P87"/>
    </row>
    <row r="88" spans="1:16" x14ac:dyDescent="0.3">
      <c r="A88"/>
      <c r="B88"/>
      <c r="C88"/>
      <c r="D88"/>
      <c r="E88"/>
      <c r="F88"/>
      <c r="G88"/>
      <c r="P88"/>
    </row>
    <row r="89" spans="1:16" x14ac:dyDescent="0.3">
      <c r="A89"/>
      <c r="B89"/>
      <c r="C89"/>
      <c r="D89"/>
      <c r="E89"/>
      <c r="F89"/>
      <c r="G89"/>
      <c r="P89"/>
    </row>
    <row r="90" spans="1:16" x14ac:dyDescent="0.3">
      <c r="A90"/>
      <c r="B90"/>
      <c r="C90"/>
      <c r="D90"/>
      <c r="E90"/>
      <c r="F90"/>
      <c r="G90"/>
      <c r="P90"/>
    </row>
    <row r="91" spans="1:16" x14ac:dyDescent="0.3">
      <c r="A91"/>
      <c r="B91"/>
      <c r="C91"/>
      <c r="D91"/>
      <c r="E91"/>
      <c r="F91"/>
      <c r="G91"/>
      <c r="P91"/>
    </row>
    <row r="92" spans="1:16" x14ac:dyDescent="0.3">
      <c r="A92"/>
      <c r="B92"/>
      <c r="C92"/>
      <c r="D92"/>
      <c r="E92"/>
      <c r="F92"/>
      <c r="G92"/>
      <c r="P92"/>
    </row>
    <row r="93" spans="1:16" x14ac:dyDescent="0.3">
      <c r="A93"/>
      <c r="B93"/>
      <c r="C93"/>
      <c r="D93"/>
      <c r="E93"/>
      <c r="F93"/>
      <c r="G93"/>
      <c r="P93"/>
    </row>
    <row r="94" spans="1:16" x14ac:dyDescent="0.3">
      <c r="A94"/>
      <c r="B94"/>
      <c r="C94"/>
      <c r="D94"/>
      <c r="E94"/>
      <c r="F94"/>
      <c r="G94"/>
      <c r="P94"/>
    </row>
    <row r="95" spans="1:16" x14ac:dyDescent="0.3">
      <c r="A95"/>
      <c r="B95"/>
      <c r="C95"/>
      <c r="D95"/>
      <c r="E95"/>
      <c r="F95"/>
      <c r="G95"/>
      <c r="P95"/>
    </row>
    <row r="96" spans="1:16" x14ac:dyDescent="0.3">
      <c r="A96"/>
      <c r="B96"/>
      <c r="C96"/>
      <c r="D96"/>
      <c r="E96"/>
      <c r="F96"/>
      <c r="G96"/>
      <c r="P96"/>
    </row>
    <row r="97" spans="1:16" x14ac:dyDescent="0.3">
      <c r="A97"/>
      <c r="B97"/>
      <c r="C97"/>
      <c r="D97"/>
      <c r="E97"/>
      <c r="F97"/>
      <c r="G97"/>
      <c r="P97"/>
    </row>
    <row r="98" spans="1:16" x14ac:dyDescent="0.3">
      <c r="A98"/>
      <c r="B98"/>
      <c r="C98"/>
      <c r="D98"/>
      <c r="E98"/>
      <c r="F98"/>
      <c r="G98"/>
      <c r="P98"/>
    </row>
    <row r="99" spans="1:16" x14ac:dyDescent="0.3">
      <c r="A99"/>
      <c r="B99"/>
      <c r="C99"/>
      <c r="D99"/>
      <c r="E99"/>
      <c r="F99"/>
      <c r="G99"/>
      <c r="P99"/>
    </row>
    <row r="100" spans="1:16" x14ac:dyDescent="0.3">
      <c r="A100"/>
      <c r="B100"/>
      <c r="C100"/>
      <c r="D100"/>
      <c r="E100"/>
      <c r="F100"/>
      <c r="G100"/>
      <c r="P100"/>
    </row>
    <row r="101" spans="1:16" x14ac:dyDescent="0.3">
      <c r="A101"/>
      <c r="B101"/>
      <c r="C101"/>
      <c r="D101"/>
      <c r="E101"/>
      <c r="F101"/>
      <c r="G101"/>
      <c r="P101"/>
    </row>
    <row r="102" spans="1:16" x14ac:dyDescent="0.3">
      <c r="A102"/>
      <c r="B102"/>
      <c r="C102"/>
      <c r="D102"/>
      <c r="E102"/>
      <c r="F102"/>
      <c r="G102"/>
      <c r="P102"/>
    </row>
    <row r="103" spans="1:16" x14ac:dyDescent="0.3">
      <c r="A103"/>
      <c r="B103"/>
      <c r="C103"/>
      <c r="D103"/>
      <c r="E103"/>
      <c r="F103"/>
      <c r="G103"/>
      <c r="P103"/>
    </row>
    <row r="104" spans="1:16" x14ac:dyDescent="0.3">
      <c r="A104"/>
      <c r="B104"/>
      <c r="C104"/>
      <c r="D104"/>
      <c r="E104"/>
      <c r="F104"/>
      <c r="G104"/>
      <c r="P104"/>
    </row>
    <row r="105" spans="1:16" x14ac:dyDescent="0.3">
      <c r="A105"/>
      <c r="B105"/>
      <c r="C105"/>
      <c r="D105"/>
      <c r="E105"/>
      <c r="F105"/>
      <c r="G105"/>
      <c r="P105"/>
    </row>
    <row r="106" spans="1:16" x14ac:dyDescent="0.3">
      <c r="A106"/>
      <c r="B106"/>
      <c r="C106"/>
      <c r="D106"/>
      <c r="E106"/>
      <c r="F106"/>
      <c r="G106"/>
      <c r="P106"/>
    </row>
    <row r="107" spans="1:16" x14ac:dyDescent="0.3">
      <c r="A107"/>
      <c r="B107"/>
      <c r="C107"/>
      <c r="D107"/>
      <c r="E107"/>
      <c r="F107"/>
      <c r="G107"/>
      <c r="P107"/>
    </row>
    <row r="108" spans="1:16" x14ac:dyDescent="0.3">
      <c r="A108"/>
      <c r="B108"/>
      <c r="C108"/>
      <c r="D108"/>
      <c r="E108"/>
      <c r="F108"/>
      <c r="G108"/>
      <c r="P108"/>
    </row>
    <row r="109" spans="1:16" x14ac:dyDescent="0.3">
      <c r="A109"/>
      <c r="B109"/>
      <c r="C109"/>
      <c r="D109"/>
      <c r="E109"/>
      <c r="F109"/>
      <c r="G109"/>
      <c r="P109"/>
    </row>
    <row r="110" spans="1:16" x14ac:dyDescent="0.3">
      <c r="A110"/>
      <c r="B110"/>
      <c r="C110"/>
      <c r="D110"/>
      <c r="E110"/>
      <c r="F110"/>
      <c r="G110"/>
      <c r="P110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0"/>
  <sheetViews>
    <sheetView zoomScale="60" zoomScaleNormal="60" workbookViewId="0"/>
  </sheetViews>
  <sheetFormatPr baseColWidth="10" defaultColWidth="8.88671875" defaultRowHeight="14.4" x14ac:dyDescent="0.3"/>
  <cols>
    <col min="1" max="1" width="15.44140625" style="15" customWidth="1"/>
    <col min="2" max="2" width="38.6640625" style="15" customWidth="1"/>
    <col min="3" max="3" width="14.44140625" style="15" customWidth="1"/>
    <col min="4" max="4" width="13.33203125" style="15" customWidth="1"/>
    <col min="5" max="5" width="11.33203125" style="15" customWidth="1"/>
    <col min="6" max="6" width="18" style="15" customWidth="1"/>
    <col min="7" max="7" width="12.77734375" style="15" customWidth="1"/>
    <col min="8" max="8" width="16.88671875" style="15" customWidth="1"/>
    <col min="9" max="9" width="19.109375" style="15" customWidth="1"/>
    <col min="10" max="10" width="22.21875" style="15" customWidth="1"/>
    <col min="11" max="12" width="23.33203125" style="15" customWidth="1"/>
    <col min="13" max="13" width="29.88671875" style="15" customWidth="1"/>
    <col min="14" max="14" width="25.21875" style="15" customWidth="1"/>
    <col min="15" max="15" width="20" style="15" customWidth="1"/>
    <col min="16" max="16" width="22.21875" style="15" customWidth="1"/>
    <col min="17" max="17" width="12.21875" style="15" customWidth="1"/>
    <col min="18" max="22" width="8.88671875" style="15" customWidth="1"/>
  </cols>
  <sheetData>
    <row r="1" spans="1:1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s="15" t="s">
        <v>38</v>
      </c>
    </row>
    <row r="2" spans="1:17" x14ac:dyDescent="0.3">
      <c r="A2"/>
      <c r="B2"/>
      <c r="C2"/>
      <c r="D2"/>
      <c r="E2"/>
      <c r="F2"/>
      <c r="G2"/>
      <c r="P2"/>
    </row>
    <row r="3" spans="1:17" x14ac:dyDescent="0.3">
      <c r="A3"/>
      <c r="B3"/>
      <c r="C3"/>
      <c r="D3"/>
      <c r="E3"/>
      <c r="F3"/>
      <c r="G3"/>
      <c r="P3"/>
    </row>
    <row r="4" spans="1:17" x14ac:dyDescent="0.3">
      <c r="A4"/>
      <c r="B4"/>
      <c r="C4"/>
      <c r="D4"/>
      <c r="E4"/>
      <c r="F4"/>
      <c r="G4"/>
      <c r="P4"/>
    </row>
    <row r="5" spans="1:17" x14ac:dyDescent="0.3">
      <c r="A5"/>
      <c r="B5"/>
      <c r="C5"/>
      <c r="D5"/>
      <c r="E5"/>
      <c r="F5"/>
      <c r="G5"/>
      <c r="P5"/>
    </row>
    <row r="6" spans="1:17" x14ac:dyDescent="0.3">
      <c r="A6"/>
      <c r="B6"/>
      <c r="C6"/>
      <c r="D6"/>
      <c r="E6"/>
      <c r="F6"/>
      <c r="G6"/>
      <c r="P6"/>
    </row>
    <row r="7" spans="1:17" x14ac:dyDescent="0.3">
      <c r="A7"/>
      <c r="B7"/>
      <c r="C7"/>
      <c r="D7"/>
      <c r="E7"/>
      <c r="F7"/>
      <c r="G7"/>
      <c r="P7"/>
    </row>
    <row r="8" spans="1:17" x14ac:dyDescent="0.3">
      <c r="A8"/>
      <c r="B8"/>
      <c r="C8"/>
      <c r="D8"/>
      <c r="E8"/>
      <c r="F8"/>
      <c r="G8"/>
      <c r="P8"/>
    </row>
    <row r="9" spans="1:17" x14ac:dyDescent="0.3">
      <c r="A9"/>
      <c r="B9"/>
      <c r="C9"/>
      <c r="D9"/>
      <c r="E9"/>
      <c r="F9"/>
      <c r="G9"/>
      <c r="P9"/>
    </row>
    <row r="10" spans="1:17" x14ac:dyDescent="0.3">
      <c r="A10"/>
      <c r="B10"/>
      <c r="C10"/>
      <c r="D10"/>
      <c r="E10"/>
      <c r="F10"/>
      <c r="G10"/>
      <c r="P10"/>
    </row>
    <row r="11" spans="1:17" x14ac:dyDescent="0.3">
      <c r="A11"/>
      <c r="B11"/>
      <c r="C11"/>
      <c r="D11"/>
      <c r="E11"/>
      <c r="F11"/>
      <c r="G11"/>
      <c r="P11"/>
    </row>
    <row r="12" spans="1:17" x14ac:dyDescent="0.3">
      <c r="A12"/>
      <c r="B12"/>
      <c r="C12"/>
      <c r="D12"/>
      <c r="E12"/>
      <c r="F12"/>
      <c r="G12"/>
      <c r="P12"/>
    </row>
    <row r="13" spans="1:17" x14ac:dyDescent="0.3">
      <c r="A13"/>
      <c r="B13"/>
      <c r="C13"/>
      <c r="D13"/>
      <c r="E13"/>
      <c r="F13"/>
      <c r="G13"/>
      <c r="P13"/>
    </row>
    <row r="14" spans="1:17" x14ac:dyDescent="0.3">
      <c r="A14"/>
      <c r="B14"/>
      <c r="C14"/>
      <c r="D14"/>
      <c r="E14"/>
      <c r="F14"/>
      <c r="G14"/>
      <c r="P14"/>
    </row>
    <row r="15" spans="1:17" x14ac:dyDescent="0.3">
      <c r="A15"/>
      <c r="B15"/>
      <c r="C15"/>
      <c r="D15"/>
      <c r="E15"/>
      <c r="F15"/>
      <c r="G15"/>
      <c r="P15"/>
    </row>
    <row r="16" spans="1:17" x14ac:dyDescent="0.3">
      <c r="A16"/>
      <c r="B16"/>
      <c r="C16"/>
      <c r="D16"/>
      <c r="E16"/>
      <c r="F16"/>
      <c r="G16"/>
      <c r="P16"/>
    </row>
    <row r="17" spans="1:16" x14ac:dyDescent="0.3">
      <c r="A17"/>
      <c r="B17"/>
      <c r="C17"/>
      <c r="D17"/>
      <c r="E17"/>
      <c r="F17"/>
      <c r="G17"/>
      <c r="P17"/>
    </row>
    <row r="18" spans="1:16" x14ac:dyDescent="0.3">
      <c r="A18"/>
      <c r="B18"/>
      <c r="C18"/>
      <c r="D18"/>
      <c r="E18"/>
      <c r="F18"/>
      <c r="G18"/>
      <c r="P18"/>
    </row>
    <row r="19" spans="1:16" x14ac:dyDescent="0.3">
      <c r="A19"/>
      <c r="B19"/>
      <c r="C19"/>
      <c r="D19"/>
      <c r="E19"/>
      <c r="F19"/>
      <c r="G19"/>
      <c r="P19"/>
    </row>
    <row r="20" spans="1:16" x14ac:dyDescent="0.3">
      <c r="A20"/>
      <c r="B20"/>
      <c r="C20"/>
      <c r="D20"/>
      <c r="E20"/>
      <c r="F20"/>
      <c r="G20"/>
      <c r="P20"/>
    </row>
    <row r="21" spans="1:16" x14ac:dyDescent="0.3">
      <c r="A21"/>
      <c r="B21"/>
      <c r="C21"/>
      <c r="D21"/>
      <c r="E21"/>
      <c r="F21"/>
      <c r="G21"/>
      <c r="P21"/>
    </row>
    <row r="22" spans="1:16" x14ac:dyDescent="0.3">
      <c r="A22"/>
      <c r="B22"/>
      <c r="C22"/>
      <c r="D22"/>
      <c r="E22"/>
      <c r="F22"/>
      <c r="G22"/>
      <c r="P22"/>
    </row>
    <row r="23" spans="1:16" x14ac:dyDescent="0.3">
      <c r="A23"/>
      <c r="B23"/>
      <c r="C23"/>
      <c r="D23"/>
      <c r="E23"/>
      <c r="F23"/>
      <c r="G23"/>
      <c r="P23"/>
    </row>
    <row r="24" spans="1:16" x14ac:dyDescent="0.3">
      <c r="A24"/>
      <c r="B24"/>
      <c r="C24"/>
      <c r="D24"/>
      <c r="E24"/>
      <c r="F24"/>
      <c r="G24"/>
      <c r="P24"/>
    </row>
    <row r="25" spans="1:16" x14ac:dyDescent="0.3">
      <c r="A25"/>
      <c r="B25"/>
      <c r="C25"/>
      <c r="D25"/>
      <c r="E25"/>
      <c r="F25"/>
      <c r="G25"/>
      <c r="P25"/>
    </row>
    <row r="26" spans="1:16" x14ac:dyDescent="0.3">
      <c r="A26"/>
      <c r="B26"/>
      <c r="C26"/>
      <c r="D26"/>
      <c r="E26"/>
      <c r="F26"/>
      <c r="G26"/>
      <c r="P26"/>
    </row>
    <row r="27" spans="1:16" x14ac:dyDescent="0.3">
      <c r="A27"/>
      <c r="B27"/>
      <c r="C27"/>
      <c r="D27"/>
      <c r="E27"/>
      <c r="F27"/>
      <c r="G27"/>
      <c r="P27"/>
    </row>
    <row r="28" spans="1:16" x14ac:dyDescent="0.3">
      <c r="A28"/>
      <c r="B28"/>
      <c r="C28"/>
      <c r="D28"/>
      <c r="E28"/>
      <c r="F28"/>
      <c r="G28"/>
      <c r="P28"/>
    </row>
    <row r="29" spans="1:16" x14ac:dyDescent="0.3">
      <c r="A29"/>
      <c r="B29"/>
      <c r="C29"/>
      <c r="D29"/>
      <c r="E29"/>
      <c r="F29"/>
      <c r="G29"/>
      <c r="P29"/>
    </row>
    <row r="30" spans="1:16" x14ac:dyDescent="0.3">
      <c r="A30"/>
      <c r="B30"/>
      <c r="C30"/>
      <c r="D30"/>
      <c r="E30"/>
      <c r="F30"/>
      <c r="G30"/>
      <c r="P30"/>
    </row>
    <row r="31" spans="1:16" x14ac:dyDescent="0.3">
      <c r="A31"/>
      <c r="B31"/>
      <c r="C31"/>
      <c r="D31"/>
      <c r="E31"/>
      <c r="F31"/>
      <c r="G31"/>
      <c r="P31"/>
    </row>
    <row r="32" spans="1:16" x14ac:dyDescent="0.3">
      <c r="A32"/>
      <c r="B32"/>
      <c r="C32"/>
      <c r="D32"/>
      <c r="E32"/>
      <c r="F32"/>
      <c r="G32"/>
      <c r="P32"/>
    </row>
    <row r="33" spans="1:16" x14ac:dyDescent="0.3">
      <c r="A33"/>
      <c r="B33"/>
      <c r="C33"/>
      <c r="D33"/>
      <c r="E33"/>
      <c r="F33"/>
      <c r="G33"/>
      <c r="P33"/>
    </row>
    <row r="34" spans="1:16" x14ac:dyDescent="0.3">
      <c r="A34"/>
      <c r="B34"/>
      <c r="C34"/>
      <c r="D34"/>
      <c r="E34"/>
      <c r="F34"/>
      <c r="G34"/>
      <c r="P34"/>
    </row>
    <row r="35" spans="1:16" x14ac:dyDescent="0.3">
      <c r="A35"/>
      <c r="B35"/>
      <c r="C35"/>
      <c r="D35"/>
      <c r="E35"/>
      <c r="F35"/>
      <c r="G35"/>
      <c r="P35"/>
    </row>
    <row r="36" spans="1:16" x14ac:dyDescent="0.3">
      <c r="A36"/>
      <c r="B36"/>
      <c r="C36"/>
      <c r="D36"/>
      <c r="E36"/>
      <c r="F36"/>
      <c r="G36"/>
      <c r="P36"/>
    </row>
    <row r="37" spans="1:16" x14ac:dyDescent="0.3">
      <c r="A37"/>
      <c r="B37"/>
      <c r="C37"/>
      <c r="D37"/>
      <c r="E37"/>
      <c r="F37"/>
      <c r="G37"/>
      <c r="P37"/>
    </row>
    <row r="38" spans="1:16" x14ac:dyDescent="0.3">
      <c r="A38"/>
      <c r="B38"/>
      <c r="C38"/>
      <c r="D38"/>
      <c r="E38"/>
      <c r="F38"/>
      <c r="G38"/>
      <c r="P38"/>
    </row>
    <row r="39" spans="1:16" x14ac:dyDescent="0.3">
      <c r="A39"/>
      <c r="B39"/>
      <c r="C39"/>
      <c r="D39"/>
      <c r="E39"/>
      <c r="F39"/>
      <c r="G39"/>
      <c r="P39"/>
    </row>
    <row r="40" spans="1:16" x14ac:dyDescent="0.3">
      <c r="A40"/>
      <c r="B40"/>
      <c r="C40"/>
      <c r="D40"/>
      <c r="E40"/>
      <c r="F40"/>
      <c r="G40"/>
      <c r="P40"/>
    </row>
    <row r="41" spans="1:16" x14ac:dyDescent="0.3">
      <c r="A41"/>
      <c r="B41"/>
      <c r="C41"/>
      <c r="D41"/>
      <c r="E41"/>
      <c r="F41"/>
      <c r="G41"/>
      <c r="P41"/>
    </row>
    <row r="42" spans="1:16" x14ac:dyDescent="0.3">
      <c r="A42"/>
      <c r="B42"/>
      <c r="C42"/>
      <c r="D42"/>
      <c r="E42"/>
      <c r="F42"/>
      <c r="G42"/>
      <c r="P42"/>
    </row>
    <row r="43" spans="1:16" x14ac:dyDescent="0.3">
      <c r="A43"/>
      <c r="B43"/>
      <c r="C43"/>
      <c r="D43"/>
      <c r="E43"/>
      <c r="F43"/>
      <c r="G43"/>
      <c r="P43"/>
    </row>
    <row r="44" spans="1:16" x14ac:dyDescent="0.3">
      <c r="A44"/>
      <c r="B44"/>
      <c r="C44"/>
      <c r="D44"/>
      <c r="E44"/>
      <c r="F44"/>
      <c r="G44"/>
      <c r="P44"/>
    </row>
    <row r="45" spans="1:16" x14ac:dyDescent="0.3">
      <c r="A45"/>
      <c r="B45"/>
      <c r="C45"/>
      <c r="D45"/>
      <c r="E45"/>
      <c r="F45"/>
      <c r="G45"/>
      <c r="P45"/>
    </row>
    <row r="46" spans="1:16" x14ac:dyDescent="0.3">
      <c r="A46"/>
      <c r="B46"/>
      <c r="C46"/>
      <c r="D46"/>
      <c r="E46"/>
      <c r="F46"/>
      <c r="G46"/>
      <c r="P46"/>
    </row>
    <row r="47" spans="1:16" x14ac:dyDescent="0.3">
      <c r="A47"/>
      <c r="B47"/>
      <c r="C47"/>
      <c r="D47"/>
      <c r="E47"/>
      <c r="F47"/>
      <c r="G47"/>
      <c r="P47"/>
    </row>
    <row r="48" spans="1:16" x14ac:dyDescent="0.3">
      <c r="A48"/>
      <c r="B48"/>
      <c r="C48"/>
      <c r="D48"/>
      <c r="E48"/>
      <c r="F48"/>
      <c r="G48"/>
      <c r="P48"/>
    </row>
    <row r="49" spans="1:16" x14ac:dyDescent="0.3">
      <c r="A49"/>
      <c r="B49"/>
      <c r="C49"/>
      <c r="D49"/>
      <c r="E49"/>
      <c r="F49"/>
      <c r="G49"/>
      <c r="P49"/>
    </row>
    <row r="50" spans="1:16" x14ac:dyDescent="0.3">
      <c r="A50"/>
      <c r="B50"/>
      <c r="C50"/>
      <c r="D50"/>
      <c r="E50"/>
      <c r="F50"/>
      <c r="G50"/>
      <c r="P50"/>
    </row>
    <row r="51" spans="1:16" x14ac:dyDescent="0.3">
      <c r="A51"/>
      <c r="B51"/>
      <c r="C51"/>
      <c r="D51"/>
      <c r="E51"/>
      <c r="F51"/>
      <c r="G51"/>
      <c r="P51"/>
    </row>
    <row r="52" spans="1:16" x14ac:dyDescent="0.3">
      <c r="A52"/>
      <c r="B52"/>
      <c r="C52"/>
      <c r="D52"/>
      <c r="E52"/>
      <c r="F52"/>
      <c r="G52"/>
      <c r="P52"/>
    </row>
    <row r="53" spans="1:16" x14ac:dyDescent="0.3">
      <c r="A53"/>
      <c r="B53"/>
      <c r="C53"/>
      <c r="D53"/>
      <c r="E53"/>
      <c r="F53"/>
      <c r="G53"/>
      <c r="P53"/>
    </row>
    <row r="54" spans="1:16" x14ac:dyDescent="0.3">
      <c r="A54"/>
      <c r="B54"/>
      <c r="C54"/>
      <c r="D54"/>
      <c r="E54"/>
      <c r="F54"/>
      <c r="G54"/>
      <c r="P54"/>
    </row>
    <row r="55" spans="1:16" x14ac:dyDescent="0.3">
      <c r="A55"/>
      <c r="B55"/>
      <c r="C55"/>
      <c r="D55"/>
      <c r="E55"/>
      <c r="F55"/>
      <c r="G55"/>
      <c r="P55"/>
    </row>
    <row r="56" spans="1:16" x14ac:dyDescent="0.3">
      <c r="A56"/>
      <c r="B56"/>
      <c r="C56"/>
      <c r="D56"/>
      <c r="E56"/>
      <c r="F56"/>
      <c r="G56"/>
      <c r="P56"/>
    </row>
    <row r="57" spans="1:16" x14ac:dyDescent="0.3">
      <c r="A57"/>
      <c r="B57"/>
      <c r="C57"/>
      <c r="D57"/>
      <c r="E57"/>
      <c r="F57"/>
      <c r="G57"/>
      <c r="P57"/>
    </row>
    <row r="58" spans="1:16" x14ac:dyDescent="0.3">
      <c r="A58"/>
      <c r="B58"/>
      <c r="C58"/>
      <c r="D58"/>
      <c r="E58"/>
      <c r="F58"/>
      <c r="G58"/>
      <c r="P58"/>
    </row>
    <row r="59" spans="1:16" x14ac:dyDescent="0.3">
      <c r="A59"/>
      <c r="B59"/>
      <c r="C59"/>
      <c r="D59"/>
      <c r="E59"/>
      <c r="F59"/>
      <c r="G59"/>
      <c r="P59"/>
    </row>
    <row r="60" spans="1:16" x14ac:dyDescent="0.3">
      <c r="A60"/>
      <c r="B60"/>
      <c r="C60"/>
      <c r="D60"/>
      <c r="E60"/>
      <c r="F60"/>
      <c r="G60"/>
      <c r="P60"/>
    </row>
    <row r="61" spans="1:16" x14ac:dyDescent="0.3">
      <c r="A61"/>
      <c r="B61"/>
      <c r="C61"/>
      <c r="D61"/>
      <c r="E61"/>
      <c r="F61"/>
      <c r="G61"/>
      <c r="P61"/>
    </row>
    <row r="62" spans="1:16" x14ac:dyDescent="0.3">
      <c r="A62"/>
      <c r="B62"/>
      <c r="C62"/>
      <c r="D62"/>
      <c r="E62"/>
      <c r="F62"/>
      <c r="G62"/>
      <c r="P62"/>
    </row>
    <row r="63" spans="1:16" x14ac:dyDescent="0.3">
      <c r="A63"/>
      <c r="B63"/>
      <c r="C63"/>
      <c r="D63"/>
      <c r="E63"/>
      <c r="F63"/>
      <c r="G63"/>
      <c r="P63"/>
    </row>
    <row r="64" spans="1:16" x14ac:dyDescent="0.3">
      <c r="A64"/>
      <c r="B64"/>
      <c r="C64"/>
      <c r="D64"/>
      <c r="E64"/>
      <c r="F64"/>
      <c r="G64"/>
      <c r="P64"/>
    </row>
    <row r="65" spans="1:16" x14ac:dyDescent="0.3">
      <c r="A65"/>
      <c r="B65"/>
      <c r="C65"/>
      <c r="D65"/>
      <c r="E65"/>
      <c r="F65"/>
      <c r="G65"/>
      <c r="P65"/>
    </row>
    <row r="66" spans="1:16" x14ac:dyDescent="0.3">
      <c r="A66"/>
      <c r="B66"/>
      <c r="C66"/>
      <c r="D66"/>
      <c r="E66"/>
      <c r="F66"/>
      <c r="G66"/>
      <c r="P66"/>
    </row>
    <row r="67" spans="1:16" x14ac:dyDescent="0.3">
      <c r="A67"/>
      <c r="B67"/>
      <c r="C67"/>
      <c r="D67"/>
      <c r="E67"/>
      <c r="F67"/>
      <c r="G67"/>
      <c r="P67"/>
    </row>
    <row r="68" spans="1:16" x14ac:dyDescent="0.3">
      <c r="A68"/>
      <c r="B68"/>
      <c r="C68"/>
      <c r="D68"/>
      <c r="E68"/>
      <c r="F68"/>
      <c r="G68"/>
      <c r="P68"/>
    </row>
    <row r="69" spans="1:16" x14ac:dyDescent="0.3">
      <c r="A69"/>
      <c r="B69"/>
      <c r="C69"/>
      <c r="D69"/>
      <c r="E69"/>
      <c r="F69"/>
      <c r="G69"/>
      <c r="P69"/>
    </row>
    <row r="70" spans="1:16" x14ac:dyDescent="0.3">
      <c r="A70"/>
      <c r="B70"/>
      <c r="C70"/>
      <c r="D70"/>
      <c r="E70"/>
      <c r="F70"/>
      <c r="G70"/>
      <c r="P70"/>
    </row>
    <row r="71" spans="1:16" x14ac:dyDescent="0.3">
      <c r="A71"/>
      <c r="B71"/>
      <c r="C71"/>
      <c r="D71"/>
      <c r="E71"/>
      <c r="F71"/>
      <c r="G71"/>
      <c r="P71"/>
    </row>
    <row r="72" spans="1:16" x14ac:dyDescent="0.3">
      <c r="A72"/>
      <c r="B72"/>
      <c r="C72"/>
      <c r="D72"/>
      <c r="E72"/>
      <c r="F72"/>
      <c r="G72"/>
      <c r="P72"/>
    </row>
    <row r="73" spans="1:16" x14ac:dyDescent="0.3">
      <c r="A73"/>
      <c r="B73"/>
      <c r="C73"/>
      <c r="D73"/>
      <c r="E73"/>
      <c r="F73"/>
      <c r="G73"/>
      <c r="P73"/>
    </row>
    <row r="74" spans="1:16" x14ac:dyDescent="0.3">
      <c r="A74"/>
      <c r="B74"/>
      <c r="C74"/>
      <c r="D74"/>
      <c r="E74"/>
      <c r="F74"/>
      <c r="G74"/>
      <c r="P74"/>
    </row>
    <row r="75" spans="1:16" x14ac:dyDescent="0.3">
      <c r="A75"/>
      <c r="B75"/>
      <c r="C75"/>
      <c r="D75"/>
      <c r="E75"/>
      <c r="F75"/>
      <c r="G75"/>
      <c r="P75"/>
    </row>
    <row r="76" spans="1:16" x14ac:dyDescent="0.3">
      <c r="A76"/>
      <c r="B76"/>
      <c r="C76"/>
      <c r="D76"/>
      <c r="E76"/>
      <c r="F76"/>
      <c r="G76"/>
      <c r="P76"/>
    </row>
    <row r="77" spans="1:16" x14ac:dyDescent="0.3">
      <c r="A77"/>
      <c r="B77"/>
      <c r="C77"/>
      <c r="D77"/>
      <c r="E77"/>
      <c r="F77"/>
      <c r="G77"/>
      <c r="P77"/>
    </row>
    <row r="78" spans="1:16" x14ac:dyDescent="0.3">
      <c r="A78"/>
      <c r="B78"/>
      <c r="C78"/>
      <c r="D78"/>
      <c r="E78"/>
      <c r="F78"/>
      <c r="G78"/>
      <c r="P78"/>
    </row>
    <row r="79" spans="1:16" x14ac:dyDescent="0.3">
      <c r="A79"/>
      <c r="B79"/>
      <c r="C79"/>
      <c r="D79"/>
      <c r="E79"/>
      <c r="F79"/>
      <c r="G79"/>
      <c r="P79"/>
    </row>
    <row r="80" spans="1:16" x14ac:dyDescent="0.3">
      <c r="A80"/>
      <c r="B80"/>
      <c r="C80"/>
      <c r="D80"/>
      <c r="E80"/>
      <c r="F80"/>
      <c r="G80"/>
      <c r="P80"/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8"/>
  <sheetViews>
    <sheetView zoomScale="60" zoomScaleNormal="60" workbookViewId="0"/>
  </sheetViews>
  <sheetFormatPr baseColWidth="10" defaultColWidth="10.5546875" defaultRowHeight="14.4" x14ac:dyDescent="0.3"/>
  <cols>
    <col min="1" max="1" width="14.33203125" style="15" customWidth="1"/>
    <col min="2" max="2" width="38.44140625" style="15" customWidth="1"/>
    <col min="3" max="5" width="10.5546875" style="15" customWidth="1"/>
    <col min="6" max="6" width="13.33203125" style="15" customWidth="1"/>
    <col min="7" max="7" width="10.5546875" style="15" customWidth="1"/>
    <col min="8" max="8" width="16.6640625" style="15" customWidth="1"/>
    <col min="9" max="9" width="19.109375" style="15" customWidth="1"/>
    <col min="10" max="10" width="22.21875" style="15" customWidth="1"/>
    <col min="11" max="12" width="23.33203125" style="15" customWidth="1"/>
    <col min="13" max="13" width="29.88671875" style="15" customWidth="1"/>
    <col min="14" max="14" width="25.21875" style="15" customWidth="1"/>
    <col min="15" max="15" width="20" style="15" customWidth="1"/>
    <col min="16" max="16" width="24.33203125" style="15" customWidth="1"/>
    <col min="17" max="20" width="10.5546875" style="15" customWidth="1"/>
  </cols>
  <sheetData>
    <row r="1" spans="1:1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">
      <c r="A2"/>
      <c r="B2"/>
      <c r="C2"/>
      <c r="D2"/>
      <c r="E2"/>
      <c r="F2"/>
      <c r="G2"/>
      <c r="P2"/>
    </row>
    <row r="3" spans="1:17" x14ac:dyDescent="0.3">
      <c r="A3"/>
      <c r="B3"/>
      <c r="C3"/>
      <c r="D3"/>
      <c r="E3"/>
      <c r="F3"/>
      <c r="G3"/>
      <c r="P3"/>
    </row>
    <row r="4" spans="1:17" x14ac:dyDescent="0.3">
      <c r="A4"/>
      <c r="B4"/>
      <c r="C4"/>
      <c r="D4"/>
      <c r="E4"/>
      <c r="F4"/>
      <c r="G4"/>
      <c r="P4"/>
    </row>
    <row r="5" spans="1:17" x14ac:dyDescent="0.3">
      <c r="A5"/>
      <c r="B5"/>
      <c r="C5"/>
      <c r="D5"/>
      <c r="E5"/>
      <c r="F5"/>
      <c r="G5"/>
      <c r="P5"/>
    </row>
    <row r="6" spans="1:17" x14ac:dyDescent="0.3">
      <c r="A6"/>
      <c r="B6"/>
      <c r="C6"/>
      <c r="D6"/>
      <c r="E6"/>
      <c r="F6"/>
      <c r="G6"/>
      <c r="P6"/>
    </row>
    <row r="7" spans="1:17" x14ac:dyDescent="0.3">
      <c r="A7"/>
      <c r="B7"/>
      <c r="C7"/>
      <c r="D7"/>
      <c r="E7"/>
      <c r="F7"/>
      <c r="G7"/>
      <c r="P7"/>
    </row>
    <row r="8" spans="1:17" x14ac:dyDescent="0.3">
      <c r="A8"/>
      <c r="B8"/>
      <c r="C8"/>
      <c r="D8"/>
      <c r="E8"/>
      <c r="F8"/>
      <c r="G8"/>
      <c r="P8"/>
    </row>
    <row r="9" spans="1:17" x14ac:dyDescent="0.3">
      <c r="A9"/>
      <c r="B9"/>
      <c r="C9"/>
      <c r="D9"/>
      <c r="E9"/>
      <c r="F9"/>
      <c r="G9"/>
      <c r="P9"/>
    </row>
    <row r="10" spans="1:17" x14ac:dyDescent="0.3">
      <c r="A10"/>
      <c r="B10"/>
      <c r="C10"/>
      <c r="D10"/>
      <c r="E10"/>
      <c r="F10"/>
      <c r="G10"/>
      <c r="P10"/>
    </row>
    <row r="11" spans="1:17" x14ac:dyDescent="0.3">
      <c r="A11"/>
      <c r="B11"/>
      <c r="C11"/>
      <c r="D11"/>
      <c r="E11"/>
      <c r="F11"/>
      <c r="G11"/>
      <c r="P11"/>
    </row>
    <row r="12" spans="1:17" x14ac:dyDescent="0.3">
      <c r="A12"/>
      <c r="B12"/>
      <c r="C12"/>
      <c r="D12"/>
      <c r="E12"/>
      <c r="F12"/>
      <c r="G12"/>
      <c r="P12"/>
    </row>
    <row r="13" spans="1:17" x14ac:dyDescent="0.3">
      <c r="A13"/>
      <c r="B13"/>
      <c r="C13"/>
      <c r="D13"/>
      <c r="E13"/>
      <c r="F13"/>
      <c r="G13"/>
      <c r="P13"/>
    </row>
    <row r="14" spans="1:17" x14ac:dyDescent="0.3">
      <c r="A14"/>
      <c r="B14"/>
      <c r="C14"/>
      <c r="D14"/>
      <c r="E14"/>
      <c r="F14"/>
      <c r="G14"/>
      <c r="P14"/>
    </row>
    <row r="15" spans="1:17" x14ac:dyDescent="0.3">
      <c r="A15"/>
      <c r="B15"/>
      <c r="C15"/>
      <c r="D15"/>
      <c r="E15"/>
      <c r="F15"/>
      <c r="G15"/>
      <c r="P15"/>
    </row>
    <row r="16" spans="1:17" x14ac:dyDescent="0.3">
      <c r="A16"/>
      <c r="B16"/>
      <c r="C16"/>
      <c r="D16"/>
      <c r="E16"/>
      <c r="F16"/>
      <c r="G16"/>
      <c r="P16"/>
    </row>
    <row r="17" spans="1:16" x14ac:dyDescent="0.3">
      <c r="A17"/>
      <c r="B17"/>
      <c r="C17"/>
      <c r="D17"/>
      <c r="E17"/>
      <c r="F17"/>
      <c r="G17"/>
      <c r="P17"/>
    </row>
    <row r="18" spans="1:16" x14ac:dyDescent="0.3">
      <c r="A18"/>
      <c r="B18"/>
      <c r="C18"/>
      <c r="D18"/>
      <c r="E18"/>
      <c r="F18"/>
      <c r="G18"/>
      <c r="P18"/>
    </row>
    <row r="19" spans="1:16" x14ac:dyDescent="0.3">
      <c r="A19"/>
      <c r="B19"/>
      <c r="C19"/>
      <c r="D19"/>
      <c r="E19"/>
      <c r="F19"/>
      <c r="G19"/>
      <c r="P19"/>
    </row>
    <row r="20" spans="1:16" x14ac:dyDescent="0.3">
      <c r="A20"/>
      <c r="B20"/>
      <c r="C20"/>
      <c r="D20"/>
      <c r="E20"/>
      <c r="F20"/>
      <c r="G20"/>
      <c r="P20"/>
    </row>
    <row r="21" spans="1:16" x14ac:dyDescent="0.3">
      <c r="A21"/>
      <c r="B21"/>
      <c r="C21"/>
      <c r="D21"/>
      <c r="E21"/>
      <c r="F21"/>
      <c r="G21"/>
      <c r="P21"/>
    </row>
    <row r="22" spans="1:16" x14ac:dyDescent="0.3">
      <c r="A22"/>
      <c r="B22"/>
      <c r="C22"/>
      <c r="D22"/>
      <c r="E22"/>
      <c r="F22"/>
      <c r="G22"/>
      <c r="P22"/>
    </row>
    <row r="23" spans="1:16" x14ac:dyDescent="0.3">
      <c r="A23"/>
      <c r="B23"/>
      <c r="C23"/>
      <c r="D23"/>
      <c r="E23"/>
      <c r="F23"/>
      <c r="G23"/>
      <c r="P23"/>
    </row>
    <row r="24" spans="1:16" x14ac:dyDescent="0.3">
      <c r="A24"/>
      <c r="B24"/>
      <c r="C24"/>
      <c r="D24"/>
      <c r="E24"/>
      <c r="F24"/>
      <c r="G24"/>
      <c r="P24"/>
    </row>
    <row r="25" spans="1:16" x14ac:dyDescent="0.3">
      <c r="A25"/>
      <c r="B25"/>
      <c r="C25"/>
      <c r="D25"/>
      <c r="E25"/>
      <c r="F25"/>
      <c r="G25"/>
      <c r="P25"/>
    </row>
    <row r="26" spans="1:16" x14ac:dyDescent="0.3">
      <c r="A26"/>
      <c r="B26"/>
      <c r="C26"/>
      <c r="D26"/>
      <c r="E26"/>
      <c r="F26"/>
      <c r="G26"/>
      <c r="P26"/>
    </row>
    <row r="27" spans="1:16" x14ac:dyDescent="0.3">
      <c r="A27"/>
      <c r="B27"/>
      <c r="C27"/>
      <c r="D27"/>
      <c r="E27"/>
      <c r="F27"/>
      <c r="G27"/>
      <c r="P27"/>
    </row>
    <row r="28" spans="1:16" x14ac:dyDescent="0.3">
      <c r="A28"/>
      <c r="B28"/>
      <c r="C28"/>
      <c r="D28"/>
      <c r="E28"/>
      <c r="F28"/>
      <c r="G28"/>
      <c r="P28"/>
    </row>
    <row r="29" spans="1:16" x14ac:dyDescent="0.3">
      <c r="A29"/>
      <c r="B29"/>
      <c r="C29"/>
      <c r="D29"/>
      <c r="E29"/>
      <c r="F29"/>
      <c r="G29"/>
      <c r="P29"/>
    </row>
    <row r="30" spans="1:16" x14ac:dyDescent="0.3">
      <c r="A30"/>
      <c r="B30"/>
      <c r="C30"/>
      <c r="D30"/>
      <c r="E30"/>
      <c r="F30"/>
      <c r="G30"/>
      <c r="P30"/>
    </row>
    <row r="31" spans="1:16" x14ac:dyDescent="0.3">
      <c r="A31"/>
      <c r="B31"/>
      <c r="C31"/>
      <c r="D31"/>
      <c r="E31"/>
      <c r="F31"/>
      <c r="G31"/>
      <c r="P31"/>
    </row>
    <row r="32" spans="1:16" x14ac:dyDescent="0.3">
      <c r="A32"/>
      <c r="B32"/>
      <c r="C32"/>
      <c r="D32"/>
      <c r="E32"/>
      <c r="F32"/>
      <c r="G32"/>
      <c r="P32"/>
    </row>
    <row r="33" spans="1:16" x14ac:dyDescent="0.3">
      <c r="A33"/>
      <c r="B33"/>
      <c r="C33"/>
      <c r="D33"/>
      <c r="E33"/>
      <c r="F33"/>
      <c r="G33"/>
      <c r="P33"/>
    </row>
    <row r="34" spans="1:16" x14ac:dyDescent="0.3">
      <c r="A34"/>
      <c r="B34"/>
      <c r="C34"/>
      <c r="D34"/>
      <c r="E34"/>
      <c r="F34"/>
      <c r="G34"/>
      <c r="P34"/>
    </row>
    <row r="35" spans="1:16" x14ac:dyDescent="0.3">
      <c r="A35"/>
      <c r="B35"/>
      <c r="C35"/>
      <c r="D35"/>
      <c r="E35"/>
      <c r="F35"/>
      <c r="G35"/>
      <c r="P35"/>
    </row>
    <row r="36" spans="1:16" x14ac:dyDescent="0.3">
      <c r="A36"/>
      <c r="B36"/>
      <c r="C36"/>
      <c r="D36"/>
      <c r="E36"/>
      <c r="F36"/>
      <c r="G36"/>
      <c r="P36"/>
    </row>
    <row r="37" spans="1:16" x14ac:dyDescent="0.3">
      <c r="A37"/>
      <c r="B37"/>
      <c r="C37"/>
      <c r="D37"/>
      <c r="E37"/>
      <c r="F37"/>
      <c r="G37"/>
      <c r="P37"/>
    </row>
    <row r="38" spans="1:16" x14ac:dyDescent="0.3">
      <c r="A38"/>
      <c r="B38"/>
      <c r="C38"/>
      <c r="D38"/>
      <c r="E38"/>
      <c r="F38"/>
      <c r="G38"/>
      <c r="P38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11"/>
  <sheetViews>
    <sheetView zoomScale="80" zoomScaleNormal="80" workbookViewId="0">
      <selection sqref="A1:XFD1"/>
    </sheetView>
  </sheetViews>
  <sheetFormatPr baseColWidth="10" defaultRowHeight="14.4" x14ac:dyDescent="0.3"/>
  <cols>
    <col min="1" max="1" width="11.5546875" style="15" customWidth="1"/>
    <col min="2" max="2" width="41" style="15" bestFit="1" customWidth="1"/>
    <col min="3" max="7" width="11.5546875" style="15" customWidth="1"/>
    <col min="8" max="8" width="14.6640625" style="15" bestFit="1" customWidth="1"/>
    <col min="9" max="9" width="13.88671875" style="15" bestFit="1" customWidth="1"/>
    <col min="10" max="10" width="14.88671875" style="15" bestFit="1" customWidth="1"/>
    <col min="11" max="11" width="13.88671875" style="15" bestFit="1" customWidth="1"/>
    <col min="12" max="12" width="14.88671875" style="15" bestFit="1" customWidth="1"/>
    <col min="13" max="13" width="13.88671875" style="15" bestFit="1" customWidth="1"/>
    <col min="14" max="14" width="24.109375" style="15" bestFit="1" customWidth="1"/>
    <col min="15" max="15" width="19.109375" style="15" bestFit="1" customWidth="1"/>
    <col min="16" max="16" width="20" style="15" bestFit="1" customWidth="1"/>
    <col min="17" max="23" width="11.5546875" style="15" customWidth="1"/>
  </cols>
  <sheetData>
    <row r="1" spans="1:1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  <c r="M1" s="15" t="s">
        <v>34</v>
      </c>
      <c r="N1" s="15" t="s">
        <v>35</v>
      </c>
      <c r="O1" s="15" t="s">
        <v>36</v>
      </c>
      <c r="P1" t="s">
        <v>37</v>
      </c>
      <c r="Q1" t="s">
        <v>38</v>
      </c>
    </row>
    <row r="2" spans="1:17" x14ac:dyDescent="0.3">
      <c r="A2"/>
      <c r="B2"/>
      <c r="C2"/>
      <c r="D2"/>
      <c r="E2"/>
      <c r="F2"/>
      <c r="G2"/>
      <c r="P2"/>
    </row>
    <row r="3" spans="1:17" x14ac:dyDescent="0.3">
      <c r="A3"/>
      <c r="B3"/>
      <c r="C3"/>
      <c r="D3"/>
      <c r="E3"/>
      <c r="F3"/>
      <c r="G3"/>
      <c r="P3"/>
    </row>
    <row r="4" spans="1:17" x14ac:dyDescent="0.3">
      <c r="A4"/>
      <c r="B4"/>
      <c r="C4"/>
      <c r="D4"/>
      <c r="E4"/>
      <c r="F4"/>
      <c r="G4"/>
      <c r="P4"/>
    </row>
    <row r="5" spans="1:17" x14ac:dyDescent="0.3">
      <c r="A5"/>
      <c r="B5"/>
      <c r="C5"/>
      <c r="D5"/>
      <c r="E5"/>
      <c r="F5"/>
      <c r="G5"/>
      <c r="P5"/>
    </row>
    <row r="6" spans="1:17" x14ac:dyDescent="0.3">
      <c r="A6"/>
      <c r="B6"/>
      <c r="C6"/>
      <c r="D6"/>
      <c r="E6"/>
      <c r="F6"/>
      <c r="G6"/>
      <c r="P6"/>
    </row>
    <row r="7" spans="1:17" x14ac:dyDescent="0.3">
      <c r="A7"/>
      <c r="B7"/>
      <c r="C7"/>
      <c r="D7"/>
      <c r="E7"/>
      <c r="F7"/>
      <c r="G7"/>
      <c r="P7"/>
    </row>
    <row r="8" spans="1:17" x14ac:dyDescent="0.3">
      <c r="A8"/>
      <c r="B8"/>
      <c r="C8"/>
      <c r="D8"/>
      <c r="E8"/>
      <c r="F8"/>
      <c r="G8"/>
      <c r="P8"/>
    </row>
    <row r="9" spans="1:17" x14ac:dyDescent="0.3">
      <c r="A9"/>
      <c r="B9"/>
      <c r="C9"/>
      <c r="D9"/>
      <c r="E9"/>
      <c r="F9"/>
      <c r="G9"/>
      <c r="P9"/>
    </row>
    <row r="10" spans="1:17" x14ac:dyDescent="0.3">
      <c r="A10"/>
      <c r="B10"/>
      <c r="C10"/>
      <c r="D10"/>
      <c r="E10"/>
      <c r="F10"/>
      <c r="G10"/>
      <c r="P10"/>
    </row>
    <row r="11" spans="1:17" x14ac:dyDescent="0.3">
      <c r="A11"/>
      <c r="B11"/>
      <c r="C11"/>
      <c r="D11"/>
      <c r="E11"/>
      <c r="F11"/>
      <c r="G11"/>
      <c r="P11"/>
    </row>
    <row r="12" spans="1:17" x14ac:dyDescent="0.3">
      <c r="A12"/>
      <c r="B12"/>
      <c r="C12"/>
      <c r="D12"/>
      <c r="E12"/>
      <c r="F12"/>
      <c r="G12"/>
      <c r="P12"/>
    </row>
    <row r="13" spans="1:17" x14ac:dyDescent="0.3">
      <c r="A13"/>
      <c r="B13"/>
      <c r="C13"/>
      <c r="D13"/>
      <c r="E13"/>
      <c r="F13"/>
      <c r="G13"/>
      <c r="P13"/>
    </row>
    <row r="14" spans="1:17" x14ac:dyDescent="0.3">
      <c r="A14"/>
      <c r="B14"/>
      <c r="C14"/>
      <c r="D14"/>
      <c r="E14"/>
      <c r="F14"/>
      <c r="G14"/>
      <c r="P14"/>
    </row>
    <row r="15" spans="1:17" x14ac:dyDescent="0.3">
      <c r="A15"/>
      <c r="B15"/>
      <c r="C15"/>
      <c r="D15"/>
      <c r="E15"/>
      <c r="F15"/>
      <c r="G15"/>
      <c r="P15"/>
    </row>
    <row r="16" spans="1:17" x14ac:dyDescent="0.3">
      <c r="A16"/>
      <c r="B16"/>
      <c r="C16"/>
      <c r="D16"/>
      <c r="E16"/>
      <c r="F16"/>
      <c r="G16"/>
      <c r="P16"/>
    </row>
    <row r="17" spans="1:16" x14ac:dyDescent="0.3">
      <c r="A17"/>
      <c r="B17"/>
      <c r="C17"/>
      <c r="D17"/>
      <c r="E17"/>
      <c r="F17"/>
      <c r="G17"/>
      <c r="P17"/>
    </row>
    <row r="18" spans="1:16" x14ac:dyDescent="0.3">
      <c r="A18"/>
      <c r="B18"/>
      <c r="C18"/>
      <c r="D18"/>
      <c r="E18"/>
      <c r="F18"/>
      <c r="G18"/>
      <c r="P18"/>
    </row>
    <row r="19" spans="1:16" x14ac:dyDescent="0.3">
      <c r="A19"/>
      <c r="B19"/>
      <c r="C19"/>
      <c r="D19"/>
      <c r="E19"/>
      <c r="F19"/>
      <c r="G19"/>
      <c r="P19"/>
    </row>
    <row r="20" spans="1:16" x14ac:dyDescent="0.3">
      <c r="A20"/>
      <c r="B20"/>
      <c r="C20"/>
      <c r="D20"/>
      <c r="E20"/>
      <c r="F20"/>
      <c r="G20"/>
      <c r="P20"/>
    </row>
    <row r="21" spans="1:16" x14ac:dyDescent="0.3">
      <c r="A21"/>
      <c r="B21"/>
      <c r="C21"/>
      <c r="D21"/>
      <c r="E21"/>
      <c r="F21"/>
      <c r="G21"/>
      <c r="P21"/>
    </row>
    <row r="22" spans="1:16" x14ac:dyDescent="0.3">
      <c r="A22"/>
      <c r="B22"/>
      <c r="C22"/>
      <c r="D22"/>
      <c r="E22"/>
      <c r="F22"/>
      <c r="G22"/>
      <c r="P22"/>
    </row>
    <row r="23" spans="1:16" x14ac:dyDescent="0.3">
      <c r="A23"/>
      <c r="B23"/>
      <c r="C23"/>
      <c r="D23"/>
      <c r="E23"/>
      <c r="F23"/>
      <c r="G23"/>
      <c r="P23"/>
    </row>
    <row r="24" spans="1:16" x14ac:dyDescent="0.3">
      <c r="A24"/>
      <c r="B24"/>
      <c r="C24"/>
      <c r="D24"/>
      <c r="E24"/>
      <c r="F24"/>
      <c r="G24"/>
      <c r="P24"/>
    </row>
    <row r="25" spans="1:16" x14ac:dyDescent="0.3">
      <c r="A25"/>
      <c r="B25"/>
      <c r="C25"/>
      <c r="D25"/>
      <c r="E25"/>
      <c r="F25"/>
      <c r="G25"/>
      <c r="P25"/>
    </row>
    <row r="26" spans="1:16" x14ac:dyDescent="0.3">
      <c r="A26"/>
      <c r="B26"/>
      <c r="C26"/>
      <c r="D26"/>
      <c r="E26"/>
      <c r="F26"/>
      <c r="G26"/>
      <c r="P26"/>
    </row>
    <row r="27" spans="1:16" x14ac:dyDescent="0.3">
      <c r="A27"/>
      <c r="B27"/>
      <c r="C27"/>
      <c r="D27"/>
      <c r="E27"/>
      <c r="F27"/>
      <c r="G27"/>
      <c r="P27"/>
    </row>
    <row r="28" spans="1:16" x14ac:dyDescent="0.3">
      <c r="A28"/>
      <c r="B28"/>
      <c r="C28"/>
      <c r="D28"/>
      <c r="E28"/>
      <c r="F28"/>
      <c r="G28"/>
      <c r="P28"/>
    </row>
    <row r="29" spans="1:16" x14ac:dyDescent="0.3">
      <c r="A29"/>
      <c r="B29"/>
      <c r="C29"/>
      <c r="D29"/>
      <c r="E29"/>
      <c r="F29"/>
      <c r="G29"/>
      <c r="P29"/>
    </row>
    <row r="30" spans="1:16" x14ac:dyDescent="0.3">
      <c r="A30"/>
      <c r="B30"/>
      <c r="C30"/>
      <c r="D30"/>
      <c r="E30"/>
      <c r="F30"/>
      <c r="G30"/>
      <c r="P30"/>
    </row>
    <row r="31" spans="1:16" x14ac:dyDescent="0.3">
      <c r="A31"/>
      <c r="B31"/>
      <c r="C31"/>
      <c r="D31"/>
      <c r="E31"/>
      <c r="F31"/>
      <c r="G31"/>
      <c r="P31"/>
    </row>
    <row r="32" spans="1:16" x14ac:dyDescent="0.3">
      <c r="A32"/>
      <c r="B32"/>
      <c r="C32"/>
      <c r="D32"/>
      <c r="E32"/>
      <c r="F32"/>
      <c r="G32"/>
      <c r="P32"/>
    </row>
    <row r="33" spans="1:16" x14ac:dyDescent="0.3">
      <c r="A33"/>
      <c r="B33"/>
      <c r="C33"/>
      <c r="D33"/>
      <c r="E33"/>
      <c r="F33"/>
      <c r="G33"/>
      <c r="P33"/>
    </row>
    <row r="34" spans="1:16" x14ac:dyDescent="0.3">
      <c r="A34"/>
      <c r="B34"/>
      <c r="C34"/>
      <c r="D34"/>
      <c r="E34"/>
      <c r="F34"/>
      <c r="G34"/>
      <c r="P34"/>
    </row>
    <row r="35" spans="1:16" x14ac:dyDescent="0.3">
      <c r="A35"/>
      <c r="B35"/>
      <c r="C35"/>
      <c r="D35"/>
      <c r="E35"/>
      <c r="F35"/>
      <c r="G35"/>
      <c r="P35"/>
    </row>
    <row r="36" spans="1:16" x14ac:dyDescent="0.3">
      <c r="A36"/>
      <c r="B36"/>
      <c r="C36"/>
      <c r="D36"/>
      <c r="E36"/>
      <c r="F36"/>
      <c r="G36"/>
      <c r="P36"/>
    </row>
    <row r="37" spans="1:16" x14ac:dyDescent="0.3">
      <c r="A37"/>
      <c r="B37"/>
      <c r="C37"/>
      <c r="D37"/>
      <c r="E37"/>
      <c r="F37"/>
      <c r="G37"/>
      <c r="P37"/>
    </row>
    <row r="38" spans="1:16" x14ac:dyDescent="0.3">
      <c r="A38"/>
      <c r="B38"/>
      <c r="C38"/>
      <c r="D38"/>
      <c r="E38"/>
      <c r="F38"/>
      <c r="G38"/>
      <c r="P38"/>
    </row>
    <row r="39" spans="1:16" x14ac:dyDescent="0.3">
      <c r="A39"/>
      <c r="B39"/>
      <c r="C39"/>
      <c r="D39"/>
      <c r="E39"/>
      <c r="F39"/>
      <c r="G39"/>
      <c r="P39"/>
    </row>
    <row r="40" spans="1:16" x14ac:dyDescent="0.3">
      <c r="A40"/>
      <c r="B40"/>
      <c r="C40"/>
      <c r="D40"/>
      <c r="E40"/>
      <c r="F40"/>
      <c r="G40"/>
      <c r="P40"/>
    </row>
    <row r="41" spans="1:16" x14ac:dyDescent="0.3">
      <c r="A41"/>
      <c r="B41"/>
      <c r="C41"/>
      <c r="D41"/>
      <c r="E41"/>
      <c r="F41"/>
      <c r="G41"/>
      <c r="P41"/>
    </row>
    <row r="42" spans="1:16" x14ac:dyDescent="0.3">
      <c r="A42"/>
      <c r="B42"/>
      <c r="C42"/>
      <c r="D42"/>
      <c r="E42"/>
      <c r="F42"/>
      <c r="G42"/>
      <c r="P42"/>
    </row>
    <row r="43" spans="1:16" x14ac:dyDescent="0.3">
      <c r="A43"/>
      <c r="B43"/>
      <c r="C43"/>
      <c r="D43"/>
      <c r="E43"/>
      <c r="F43"/>
      <c r="G43"/>
      <c r="P43"/>
    </row>
    <row r="44" spans="1:16" x14ac:dyDescent="0.3">
      <c r="A44"/>
      <c r="B44"/>
      <c r="C44"/>
      <c r="D44"/>
      <c r="E44"/>
      <c r="F44"/>
      <c r="G44"/>
      <c r="P44"/>
    </row>
    <row r="45" spans="1:16" x14ac:dyDescent="0.3">
      <c r="A45"/>
      <c r="B45"/>
      <c r="C45"/>
      <c r="D45"/>
      <c r="E45"/>
      <c r="F45"/>
      <c r="G45"/>
      <c r="P45"/>
    </row>
    <row r="46" spans="1:16" x14ac:dyDescent="0.3">
      <c r="A46"/>
      <c r="B46"/>
      <c r="C46"/>
      <c r="D46"/>
      <c r="E46"/>
      <c r="F46"/>
      <c r="G46"/>
      <c r="P46"/>
    </row>
    <row r="47" spans="1:16" x14ac:dyDescent="0.3">
      <c r="A47"/>
      <c r="B47"/>
      <c r="C47"/>
      <c r="D47"/>
      <c r="E47"/>
      <c r="F47"/>
      <c r="G47"/>
      <c r="P47"/>
    </row>
    <row r="48" spans="1:16" x14ac:dyDescent="0.3">
      <c r="A48"/>
      <c r="B48"/>
      <c r="C48"/>
      <c r="D48"/>
      <c r="E48"/>
      <c r="F48"/>
      <c r="G48"/>
      <c r="P48"/>
    </row>
    <row r="49" spans="1:16" x14ac:dyDescent="0.3">
      <c r="A49"/>
      <c r="B49"/>
      <c r="C49"/>
      <c r="D49"/>
      <c r="E49"/>
      <c r="F49"/>
      <c r="G49"/>
      <c r="P49"/>
    </row>
    <row r="50" spans="1:16" x14ac:dyDescent="0.3">
      <c r="A50"/>
      <c r="B50"/>
      <c r="C50"/>
      <c r="D50"/>
      <c r="E50"/>
      <c r="F50"/>
      <c r="G50"/>
      <c r="P50"/>
    </row>
    <row r="51" spans="1:16" x14ac:dyDescent="0.3">
      <c r="A51"/>
      <c r="B51"/>
      <c r="C51"/>
      <c r="D51"/>
      <c r="E51"/>
      <c r="F51"/>
      <c r="G51"/>
      <c r="P51"/>
    </row>
    <row r="52" spans="1:16" x14ac:dyDescent="0.3">
      <c r="A52"/>
      <c r="B52"/>
      <c r="C52"/>
      <c r="D52"/>
      <c r="E52"/>
      <c r="F52"/>
      <c r="G52"/>
      <c r="P52"/>
    </row>
    <row r="53" spans="1:16" x14ac:dyDescent="0.3">
      <c r="A53"/>
      <c r="B53"/>
      <c r="C53"/>
      <c r="D53"/>
      <c r="E53"/>
      <c r="F53"/>
      <c r="G53"/>
      <c r="P53"/>
    </row>
    <row r="54" spans="1:16" x14ac:dyDescent="0.3">
      <c r="A54"/>
      <c r="B54"/>
      <c r="C54"/>
      <c r="D54"/>
      <c r="E54"/>
      <c r="F54"/>
      <c r="G54"/>
      <c r="P54"/>
    </row>
    <row r="55" spans="1:16" x14ac:dyDescent="0.3">
      <c r="A55"/>
      <c r="B55"/>
      <c r="C55"/>
      <c r="D55"/>
      <c r="E55"/>
      <c r="F55"/>
      <c r="G55"/>
      <c r="P55"/>
    </row>
    <row r="56" spans="1:16" x14ac:dyDescent="0.3">
      <c r="A56"/>
      <c r="B56"/>
      <c r="C56"/>
      <c r="D56"/>
      <c r="E56"/>
      <c r="F56"/>
      <c r="G56"/>
      <c r="P56"/>
    </row>
    <row r="57" spans="1:16" x14ac:dyDescent="0.3">
      <c r="A57"/>
      <c r="B57"/>
      <c r="C57"/>
      <c r="D57"/>
      <c r="E57"/>
      <c r="F57"/>
      <c r="G57"/>
      <c r="P57"/>
    </row>
    <row r="58" spans="1:16" x14ac:dyDescent="0.3">
      <c r="A58"/>
      <c r="B58"/>
      <c r="C58"/>
      <c r="D58"/>
      <c r="E58"/>
      <c r="F58"/>
      <c r="G58"/>
      <c r="P58"/>
    </row>
    <row r="59" spans="1:16" x14ac:dyDescent="0.3">
      <c r="A59"/>
      <c r="B59"/>
      <c r="C59"/>
      <c r="D59"/>
      <c r="E59"/>
      <c r="F59"/>
      <c r="G59"/>
      <c r="P59"/>
    </row>
    <row r="60" spans="1:16" x14ac:dyDescent="0.3">
      <c r="A60"/>
      <c r="B60"/>
      <c r="C60"/>
      <c r="D60"/>
      <c r="E60"/>
      <c r="F60"/>
      <c r="G60"/>
      <c r="P60"/>
    </row>
    <row r="61" spans="1:16" x14ac:dyDescent="0.3">
      <c r="A61"/>
      <c r="B61"/>
      <c r="C61"/>
      <c r="D61"/>
      <c r="E61"/>
      <c r="F61"/>
      <c r="G61"/>
      <c r="P61"/>
    </row>
    <row r="62" spans="1:16" x14ac:dyDescent="0.3">
      <c r="A62"/>
      <c r="B62"/>
      <c r="C62"/>
      <c r="D62"/>
      <c r="E62"/>
      <c r="F62"/>
      <c r="G62"/>
      <c r="P62"/>
    </row>
    <row r="63" spans="1:16" x14ac:dyDescent="0.3">
      <c r="A63"/>
      <c r="B63"/>
      <c r="C63"/>
      <c r="D63"/>
      <c r="E63"/>
      <c r="F63"/>
      <c r="G63"/>
      <c r="P63"/>
    </row>
    <row r="64" spans="1:16" x14ac:dyDescent="0.3">
      <c r="A64"/>
      <c r="B64"/>
      <c r="C64"/>
      <c r="D64"/>
      <c r="E64"/>
      <c r="F64"/>
      <c r="G64"/>
      <c r="P64"/>
    </row>
    <row r="65" spans="1:16" x14ac:dyDescent="0.3">
      <c r="A65"/>
      <c r="B65"/>
      <c r="C65"/>
      <c r="D65"/>
      <c r="E65"/>
      <c r="F65"/>
      <c r="G65"/>
      <c r="P65"/>
    </row>
    <row r="66" spans="1:16" x14ac:dyDescent="0.3">
      <c r="A66"/>
      <c r="B66"/>
      <c r="C66"/>
      <c r="D66"/>
      <c r="E66"/>
      <c r="F66"/>
      <c r="G66"/>
      <c r="P66"/>
    </row>
    <row r="67" spans="1:16" x14ac:dyDescent="0.3">
      <c r="A67"/>
      <c r="B67"/>
      <c r="C67"/>
      <c r="D67"/>
      <c r="E67"/>
      <c r="F67"/>
      <c r="G67"/>
      <c r="P67"/>
    </row>
    <row r="68" spans="1:16" x14ac:dyDescent="0.3">
      <c r="A68"/>
      <c r="B68"/>
      <c r="C68"/>
      <c r="D68"/>
      <c r="E68"/>
      <c r="F68"/>
      <c r="G68"/>
      <c r="P68"/>
    </row>
    <row r="69" spans="1:16" x14ac:dyDescent="0.3">
      <c r="A69"/>
      <c r="B69"/>
      <c r="C69"/>
      <c r="D69"/>
      <c r="E69"/>
      <c r="F69"/>
      <c r="G69"/>
      <c r="P69"/>
    </row>
    <row r="70" spans="1:16" x14ac:dyDescent="0.3">
      <c r="A70"/>
      <c r="B70"/>
      <c r="C70"/>
      <c r="D70"/>
      <c r="E70"/>
      <c r="F70"/>
      <c r="G70"/>
      <c r="P70"/>
    </row>
    <row r="71" spans="1:16" x14ac:dyDescent="0.3">
      <c r="A71"/>
      <c r="B71"/>
      <c r="C71"/>
      <c r="D71"/>
      <c r="E71"/>
      <c r="F71"/>
      <c r="G71"/>
      <c r="P71"/>
    </row>
    <row r="72" spans="1:16" x14ac:dyDescent="0.3">
      <c r="A72"/>
      <c r="B72"/>
      <c r="C72"/>
      <c r="D72"/>
      <c r="E72"/>
      <c r="F72"/>
      <c r="G72"/>
      <c r="P72"/>
    </row>
    <row r="73" spans="1:16" x14ac:dyDescent="0.3">
      <c r="A73"/>
      <c r="B73"/>
      <c r="C73"/>
      <c r="D73"/>
      <c r="E73"/>
      <c r="F73"/>
      <c r="G73"/>
      <c r="P73"/>
    </row>
    <row r="74" spans="1:16" x14ac:dyDescent="0.3">
      <c r="A74"/>
      <c r="B74"/>
      <c r="C74"/>
      <c r="D74"/>
      <c r="E74"/>
      <c r="F74"/>
      <c r="G74"/>
      <c r="P74"/>
    </row>
    <row r="75" spans="1:16" x14ac:dyDescent="0.3">
      <c r="A75"/>
      <c r="B75"/>
      <c r="C75"/>
      <c r="D75"/>
      <c r="E75"/>
      <c r="F75"/>
      <c r="G75"/>
      <c r="P75"/>
    </row>
    <row r="76" spans="1:16" x14ac:dyDescent="0.3">
      <c r="A76"/>
      <c r="B76"/>
      <c r="C76"/>
      <c r="D76"/>
      <c r="E76"/>
      <c r="F76"/>
      <c r="G76"/>
      <c r="P76"/>
    </row>
    <row r="77" spans="1:16" x14ac:dyDescent="0.3">
      <c r="A77"/>
      <c r="B77"/>
      <c r="C77"/>
      <c r="D77"/>
      <c r="E77"/>
      <c r="F77"/>
      <c r="G77"/>
      <c r="P77"/>
    </row>
    <row r="78" spans="1:16" x14ac:dyDescent="0.3">
      <c r="A78"/>
      <c r="B78"/>
      <c r="C78"/>
      <c r="D78"/>
      <c r="E78"/>
      <c r="F78"/>
      <c r="G78"/>
      <c r="P78"/>
    </row>
    <row r="79" spans="1:16" x14ac:dyDescent="0.3">
      <c r="A79"/>
      <c r="B79"/>
      <c r="C79"/>
      <c r="D79"/>
      <c r="E79"/>
      <c r="F79"/>
      <c r="G79"/>
      <c r="P79"/>
    </row>
    <row r="80" spans="1:16" x14ac:dyDescent="0.3">
      <c r="A80"/>
      <c r="B80"/>
      <c r="C80"/>
      <c r="D80"/>
      <c r="E80"/>
      <c r="F80"/>
      <c r="G80"/>
      <c r="P80"/>
    </row>
    <row r="81" spans="1:16" x14ac:dyDescent="0.3">
      <c r="A81"/>
      <c r="B81"/>
      <c r="C81"/>
      <c r="D81"/>
      <c r="E81"/>
      <c r="F81"/>
      <c r="G81"/>
      <c r="P81"/>
    </row>
    <row r="82" spans="1:16" x14ac:dyDescent="0.3">
      <c r="A82"/>
      <c r="B82"/>
      <c r="C82"/>
      <c r="D82"/>
      <c r="E82"/>
      <c r="F82"/>
      <c r="G82"/>
      <c r="P82"/>
    </row>
    <row r="83" spans="1:16" x14ac:dyDescent="0.3">
      <c r="A83"/>
      <c r="B83"/>
      <c r="C83"/>
      <c r="D83"/>
      <c r="E83"/>
      <c r="F83"/>
      <c r="G83"/>
      <c r="P83"/>
    </row>
    <row r="84" spans="1:16" x14ac:dyDescent="0.3">
      <c r="A84"/>
      <c r="B84"/>
      <c r="C84"/>
      <c r="D84"/>
      <c r="E84"/>
      <c r="F84"/>
      <c r="G84"/>
      <c r="P84"/>
    </row>
    <row r="85" spans="1:16" x14ac:dyDescent="0.3">
      <c r="A85"/>
      <c r="B85"/>
      <c r="C85"/>
      <c r="D85"/>
      <c r="E85"/>
      <c r="F85"/>
      <c r="G85"/>
      <c r="P85"/>
    </row>
    <row r="86" spans="1:16" x14ac:dyDescent="0.3">
      <c r="A86"/>
      <c r="B86"/>
      <c r="C86"/>
      <c r="D86"/>
      <c r="E86"/>
      <c r="F86"/>
      <c r="G86"/>
      <c r="P86"/>
    </row>
    <row r="87" spans="1:16" x14ac:dyDescent="0.3">
      <c r="A87"/>
      <c r="B87"/>
      <c r="C87"/>
      <c r="D87"/>
      <c r="E87"/>
      <c r="F87"/>
      <c r="G87"/>
      <c r="P87"/>
    </row>
    <row r="88" spans="1:16" x14ac:dyDescent="0.3">
      <c r="A88"/>
      <c r="B88"/>
      <c r="C88"/>
      <c r="D88"/>
      <c r="E88"/>
      <c r="F88"/>
      <c r="G88"/>
      <c r="P88"/>
    </row>
    <row r="89" spans="1:16" x14ac:dyDescent="0.3">
      <c r="A89"/>
      <c r="B89"/>
      <c r="C89"/>
      <c r="D89"/>
      <c r="E89"/>
      <c r="F89"/>
      <c r="G89"/>
      <c r="P89"/>
    </row>
    <row r="90" spans="1:16" x14ac:dyDescent="0.3">
      <c r="A90"/>
      <c r="B90"/>
      <c r="C90"/>
      <c r="D90"/>
      <c r="E90"/>
      <c r="F90"/>
      <c r="G90"/>
      <c r="P90"/>
    </row>
    <row r="91" spans="1:16" x14ac:dyDescent="0.3">
      <c r="A91"/>
      <c r="B91"/>
      <c r="C91"/>
      <c r="D91"/>
      <c r="E91"/>
      <c r="F91"/>
      <c r="G91"/>
      <c r="P91"/>
    </row>
    <row r="92" spans="1:16" x14ac:dyDescent="0.3">
      <c r="A92"/>
      <c r="B92"/>
      <c r="C92"/>
      <c r="D92"/>
      <c r="E92"/>
      <c r="F92"/>
      <c r="G92"/>
      <c r="P92"/>
    </row>
    <row r="93" spans="1:16" x14ac:dyDescent="0.3">
      <c r="A93"/>
      <c r="B93"/>
      <c r="C93"/>
      <c r="D93"/>
      <c r="E93"/>
      <c r="F93"/>
      <c r="G93"/>
      <c r="P93"/>
    </row>
    <row r="94" spans="1:16" x14ac:dyDescent="0.3">
      <c r="A94"/>
      <c r="B94"/>
      <c r="C94"/>
      <c r="D94"/>
      <c r="E94"/>
      <c r="F94"/>
      <c r="G94"/>
      <c r="P94"/>
    </row>
    <row r="95" spans="1:16" x14ac:dyDescent="0.3">
      <c r="A95"/>
      <c r="B95"/>
      <c r="C95"/>
      <c r="D95"/>
      <c r="E95"/>
      <c r="F95"/>
      <c r="G95"/>
      <c r="P95"/>
    </row>
    <row r="96" spans="1:16" x14ac:dyDescent="0.3">
      <c r="A96"/>
      <c r="B96"/>
      <c r="C96"/>
      <c r="D96"/>
      <c r="E96"/>
      <c r="F96"/>
      <c r="G96"/>
      <c r="P96"/>
    </row>
    <row r="97" spans="1:16" x14ac:dyDescent="0.3">
      <c r="A97"/>
      <c r="B97"/>
      <c r="C97"/>
      <c r="D97"/>
      <c r="E97"/>
      <c r="F97"/>
      <c r="G97"/>
      <c r="P97"/>
    </row>
    <row r="98" spans="1:16" x14ac:dyDescent="0.3">
      <c r="A98"/>
      <c r="B98"/>
      <c r="C98"/>
      <c r="D98"/>
      <c r="E98"/>
      <c r="F98"/>
      <c r="G98"/>
      <c r="P98"/>
    </row>
    <row r="99" spans="1:16" x14ac:dyDescent="0.3">
      <c r="A99"/>
      <c r="B99"/>
      <c r="C99"/>
      <c r="D99"/>
      <c r="E99"/>
      <c r="F99"/>
      <c r="G99"/>
      <c r="P99"/>
    </row>
    <row r="100" spans="1:16" x14ac:dyDescent="0.3">
      <c r="A100"/>
      <c r="B100"/>
      <c r="C100"/>
      <c r="D100"/>
      <c r="E100"/>
      <c r="F100"/>
      <c r="G100"/>
      <c r="P100"/>
    </row>
    <row r="101" spans="1:16" x14ac:dyDescent="0.3">
      <c r="A101"/>
      <c r="B101"/>
      <c r="C101"/>
      <c r="D101"/>
      <c r="E101"/>
      <c r="F101"/>
      <c r="G101"/>
      <c r="P101"/>
    </row>
    <row r="102" spans="1:16" x14ac:dyDescent="0.3">
      <c r="A102"/>
      <c r="B102"/>
      <c r="C102"/>
      <c r="D102"/>
      <c r="E102"/>
      <c r="F102"/>
      <c r="G102"/>
      <c r="P102"/>
    </row>
    <row r="103" spans="1:16" x14ac:dyDescent="0.3">
      <c r="A103"/>
      <c r="B103"/>
      <c r="C103"/>
      <c r="D103"/>
      <c r="E103"/>
      <c r="F103"/>
      <c r="G103"/>
      <c r="P103"/>
    </row>
    <row r="104" spans="1:16" x14ac:dyDescent="0.3">
      <c r="A104"/>
      <c r="B104"/>
      <c r="C104"/>
      <c r="D104"/>
      <c r="E104"/>
      <c r="F104"/>
      <c r="G104"/>
      <c r="P104"/>
    </row>
    <row r="105" spans="1:16" x14ac:dyDescent="0.3">
      <c r="A105"/>
      <c r="B105"/>
      <c r="C105"/>
      <c r="D105"/>
      <c r="E105"/>
      <c r="F105"/>
      <c r="G105"/>
      <c r="P105"/>
    </row>
    <row r="106" spans="1:16" x14ac:dyDescent="0.3">
      <c r="A106"/>
      <c r="B106"/>
      <c r="C106"/>
      <c r="D106"/>
      <c r="E106"/>
      <c r="F106"/>
      <c r="G106"/>
      <c r="P106"/>
    </row>
    <row r="107" spans="1:16" x14ac:dyDescent="0.3">
      <c r="A107"/>
      <c r="B107"/>
      <c r="C107"/>
      <c r="D107"/>
      <c r="E107"/>
      <c r="F107"/>
      <c r="G107"/>
      <c r="P107"/>
    </row>
    <row r="108" spans="1:16" x14ac:dyDescent="0.3">
      <c r="A108"/>
      <c r="B108"/>
      <c r="C108"/>
      <c r="D108"/>
      <c r="E108"/>
      <c r="F108"/>
      <c r="G108"/>
      <c r="P108"/>
    </row>
    <row r="109" spans="1:16" x14ac:dyDescent="0.3">
      <c r="A109"/>
      <c r="B109"/>
      <c r="C109"/>
      <c r="D109"/>
      <c r="E109"/>
      <c r="F109"/>
      <c r="G109"/>
      <c r="P109"/>
    </row>
    <row r="110" spans="1:16" x14ac:dyDescent="0.3">
      <c r="A110"/>
      <c r="B110"/>
      <c r="C110"/>
      <c r="D110"/>
      <c r="E110"/>
      <c r="F110"/>
      <c r="G110"/>
      <c r="P110"/>
    </row>
    <row r="111" spans="1:16" x14ac:dyDescent="0.3">
      <c r="A111"/>
      <c r="B111"/>
      <c r="C111"/>
      <c r="D111"/>
      <c r="E111"/>
      <c r="F111"/>
      <c r="G111"/>
      <c r="P1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2"/>
  <sheetViews>
    <sheetView zoomScale="90" zoomScaleNormal="90" workbookViewId="0">
      <selection activeCell="L14" sqref="L14"/>
    </sheetView>
  </sheetViews>
  <sheetFormatPr baseColWidth="10" defaultColWidth="10.5546875" defaultRowHeight="14.4" x14ac:dyDescent="0.3"/>
  <cols>
    <col min="8" max="9" width="14.77734375" style="15" customWidth="1"/>
    <col min="10" max="10" width="15.77734375" style="15" customWidth="1"/>
    <col min="11" max="11" width="13.77734375" style="15" customWidth="1"/>
    <col min="12" max="12" width="15.77734375" style="15" customWidth="1"/>
    <col min="13" max="15" width="14.77734375" style="15" customWidth="1"/>
  </cols>
  <sheetData>
    <row r="1" spans="1:1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7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7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7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7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7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7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7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7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7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7" x14ac:dyDescent="0.3">
      <c r="A12" s="16"/>
      <c r="B12" s="16"/>
      <c r="C12" s="16"/>
      <c r="D12" s="16"/>
      <c r="E12" s="16"/>
      <c r="F12" s="16"/>
      <c r="G12" s="16"/>
      <c r="P12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FC70-E6BA-438E-9DBC-580D3A79AB7C}">
  <dimension ref="A1:W1"/>
  <sheetViews>
    <sheetView workbookViewId="0">
      <selection sqref="A1:XFD1"/>
    </sheetView>
  </sheetViews>
  <sheetFormatPr baseColWidth="10" defaultRowHeight="14.4" x14ac:dyDescent="0.3"/>
  <sheetData>
    <row r="1" spans="1:23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  <c r="M1" s="15" t="s">
        <v>34</v>
      </c>
      <c r="N1" s="15" t="s">
        <v>35</v>
      </c>
      <c r="O1" s="15" t="s">
        <v>36</v>
      </c>
      <c r="P1" t="s">
        <v>37</v>
      </c>
      <c r="Q1" t="s">
        <v>38</v>
      </c>
      <c r="R1" s="15"/>
      <c r="S1" s="15"/>
      <c r="T1" s="15"/>
      <c r="U1" s="15"/>
      <c r="V1" s="15"/>
      <c r="W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Override</vt:lpstr>
      <vt:lpstr>Escalas</vt:lpstr>
      <vt:lpstr>Sandville Beach</vt:lpstr>
      <vt:lpstr>Perla del Mar</vt:lpstr>
      <vt:lpstr>Tesoro Escondido</vt:lpstr>
      <vt:lpstr>Vegas de Venecia</vt:lpstr>
      <vt:lpstr>Carmelo Reservado</vt:lpstr>
      <vt:lpstr>Fractal</vt:lpstr>
      <vt:lpstr>Casas de Verano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Avila</cp:lastModifiedBy>
  <cp:revision>1</cp:revision>
  <dcterms:created xsi:type="dcterms:W3CDTF">2020-09-22T15:24:21Z</dcterms:created>
  <dcterms:modified xsi:type="dcterms:W3CDTF">2025-05-15T14:18:01Z</dcterms:modified>
  <dc:language>es-CO</dc:language>
</cp:coreProperties>
</file>
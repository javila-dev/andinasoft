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ropbox\Django\Andina\resources\excel_formats\"/>
    </mc:Choice>
  </mc:AlternateContent>
  <xr:revisionPtr revIDLastSave="0" documentId="13_ncr:1_{FF801E4F-AB69-4F6E-9166-CBA0A6AD095A}" xr6:coauthVersionLast="45" xr6:coauthVersionMax="45" xr10:uidLastSave="{00000000-0000-0000-0000-000000000000}"/>
  <bookViews>
    <workbookView xWindow="-108" yWindow="-108" windowWidth="23256" windowHeight="12576" tabRatio="936" xr2:uid="{00000000-000D-0000-FFFF-FFFF00000000}"/>
  </bookViews>
  <sheets>
    <sheet name="RESULTADOS MES" sheetId="1" r:id="rId1"/>
    <sheet name="Ventas" sheetId="2" r:id="rId2"/>
    <sheet name="Recaudos" sheetId="3" r:id="rId3"/>
    <sheet name="Detalle Ventas" sheetId="4" r:id="rId4"/>
    <sheet name="Cartera" sheetId="5" r:id="rId5"/>
    <sheet name="CarteraHistorico" sheetId="16" r:id="rId6"/>
    <sheet name="PptoSiguiente" sheetId="6" r:id="rId7"/>
    <sheet name="Gastos Mes" sheetId="7" r:id="rId8"/>
    <sheet name="Metas" sheetId="8" state="hidden" r:id="rId9"/>
    <sheet name="Hoja2" sheetId="9" state="hidden" r:id="rId10"/>
    <sheet name="SANDVILLE" sheetId="10" state="hidden" r:id="rId11"/>
    <sheet name="WESTVILLE" sheetId="11" state="hidden" r:id="rId12"/>
    <sheet name="Hoja3" sheetId="12" state="hidden" r:id="rId13"/>
    <sheet name="CONFIG" sheetId="13" state="hidden" r:id="rId14"/>
    <sheet name="GastosHistorico" sheetId="15" r:id="rId15"/>
    <sheet name="Control" sheetId="14" state="hidden" r:id="rId16"/>
  </sheets>
  <definedNames>
    <definedName name="_xlnm._FilterDatabase" localSheetId="4" hidden="1">Cartera!$A$1:$N$152</definedName>
    <definedName name="_xlnm._FilterDatabase" localSheetId="9" hidden="1">Hoja2!$A$104:$F$144</definedName>
    <definedName name="_xlnm._FilterDatabase" localSheetId="6" hidden="1">PptoSiguiente!$A$1:$N$84</definedName>
    <definedName name="_xlnm._FilterDatabase" localSheetId="0" hidden="1">'RESULTADOS MES'!$A$1:$L$85</definedName>
    <definedName name="_xlnm.Print_Area" localSheetId="0">'RESULTADOS MES'!$A$1:$K$85</definedName>
    <definedName name="_xlnm.Print_Titles" localSheetId="10">SANDVILLE!$16:$16</definedName>
    <definedName name="_xlnm.Print_Titles" localSheetId="11">WESTVILLE!$16:$16</definedName>
  </definedNames>
  <calcPr calcId="191029"/>
</workbook>
</file>

<file path=xl/calcChain.xml><?xml version="1.0" encoding="utf-8"?>
<calcChain xmlns="http://schemas.openxmlformats.org/spreadsheetml/2006/main">
  <c r="H78" i="1" l="1"/>
  <c r="H77" i="1"/>
  <c r="H76" i="1"/>
  <c r="H75" i="1"/>
  <c r="H74" i="1"/>
  <c r="H73" i="1"/>
  <c r="H72" i="1"/>
  <c r="H71" i="1"/>
  <c r="H70" i="1"/>
  <c r="H69" i="1"/>
  <c r="H68" i="1"/>
  <c r="H67" i="1"/>
  <c r="D78" i="1" l="1"/>
  <c r="D77" i="1"/>
  <c r="D76" i="1"/>
  <c r="D75" i="1"/>
  <c r="D74" i="1"/>
  <c r="D73" i="1"/>
  <c r="D72" i="1"/>
  <c r="D71" i="1"/>
  <c r="D70" i="1"/>
  <c r="D69" i="1"/>
  <c r="D68" i="1"/>
  <c r="D67" i="1"/>
  <c r="J63" i="1" l="1"/>
  <c r="J51" i="1"/>
  <c r="H5" i="14" s="1"/>
  <c r="J36" i="1"/>
  <c r="H4" i="14" s="1"/>
  <c r="H6" i="14" l="1"/>
  <c r="J64" i="1"/>
  <c r="F47" i="1" l="1"/>
  <c r="F46" i="1"/>
  <c r="F45" i="1"/>
  <c r="F44" i="1"/>
  <c r="F43" i="1"/>
  <c r="F42" i="1"/>
  <c r="F41" i="1"/>
  <c r="F40" i="1"/>
  <c r="F39" i="1"/>
  <c r="F32" i="1"/>
  <c r="G31" i="1"/>
  <c r="F31" i="1"/>
  <c r="G30" i="1"/>
  <c r="F30" i="1"/>
  <c r="F29" i="1"/>
  <c r="G28" i="1"/>
  <c r="F28" i="1"/>
  <c r="G27" i="1"/>
  <c r="F27" i="1"/>
  <c r="F26" i="1"/>
  <c r="G25" i="1"/>
  <c r="F25" i="1"/>
  <c r="G24" i="1"/>
  <c r="F24" i="1"/>
  <c r="F23" i="1"/>
  <c r="G22" i="1"/>
  <c r="F22" i="1"/>
  <c r="G21" i="1"/>
  <c r="F21" i="1"/>
  <c r="J32" i="1" l="1"/>
  <c r="J31" i="1"/>
  <c r="J30" i="1"/>
  <c r="J56" i="1" l="1"/>
  <c r="K55" i="1"/>
  <c r="K54" i="1"/>
  <c r="J55" i="1"/>
  <c r="J54" i="1"/>
  <c r="F56" i="1"/>
  <c r="D56" i="1"/>
  <c r="G55" i="1"/>
  <c r="F55" i="1"/>
  <c r="H55" i="1" s="1"/>
  <c r="E55" i="1"/>
  <c r="D55" i="1"/>
  <c r="G54" i="1"/>
  <c r="F54" i="1"/>
  <c r="E54" i="1"/>
  <c r="E56" i="1" s="1"/>
  <c r="D54" i="1"/>
  <c r="K31" i="1"/>
  <c r="K30" i="1"/>
  <c r="E31" i="1"/>
  <c r="E30" i="1"/>
  <c r="D32" i="1"/>
  <c r="D31" i="1"/>
  <c r="D30" i="1"/>
  <c r="K28" i="1"/>
  <c r="K27" i="1"/>
  <c r="J29" i="1"/>
  <c r="J27" i="1"/>
  <c r="J28" i="1"/>
  <c r="E28" i="1"/>
  <c r="E27" i="1"/>
  <c r="D28" i="1"/>
  <c r="D27" i="1"/>
  <c r="D29" i="1"/>
  <c r="H104" i="11"/>
  <c r="G104" i="11"/>
  <c r="E104" i="11"/>
  <c r="J104" i="11" s="1"/>
  <c r="D104" i="11"/>
  <c r="J103" i="11"/>
  <c r="H103" i="11"/>
  <c r="G103" i="11"/>
  <c r="F103" i="11"/>
  <c r="E101" i="11"/>
  <c r="H101" i="11" s="1"/>
  <c r="D101" i="11"/>
  <c r="D102" i="11" s="1"/>
  <c r="J100" i="11"/>
  <c r="H100" i="11"/>
  <c r="G100" i="11"/>
  <c r="F100" i="11"/>
  <c r="J99" i="11"/>
  <c r="H99" i="11"/>
  <c r="G99" i="11"/>
  <c r="F99" i="11"/>
  <c r="J98" i="11"/>
  <c r="H98" i="11"/>
  <c r="E98" i="11"/>
  <c r="D98" i="11"/>
  <c r="F98" i="11" s="1"/>
  <c r="J97" i="11"/>
  <c r="H97" i="11"/>
  <c r="G97" i="11"/>
  <c r="F97" i="11"/>
  <c r="J96" i="11"/>
  <c r="H96" i="11"/>
  <c r="G96" i="11"/>
  <c r="F96" i="11"/>
  <c r="J95" i="11"/>
  <c r="H95" i="11"/>
  <c r="G95" i="11"/>
  <c r="F95" i="11"/>
  <c r="J94" i="11"/>
  <c r="H94" i="11"/>
  <c r="G94" i="11"/>
  <c r="F94" i="11"/>
  <c r="J93" i="11"/>
  <c r="H93" i="11"/>
  <c r="G93" i="11"/>
  <c r="F93" i="11"/>
  <c r="J92" i="11"/>
  <c r="H92" i="11"/>
  <c r="G92" i="11"/>
  <c r="F92" i="11"/>
  <c r="J91" i="11"/>
  <c r="H91" i="11"/>
  <c r="G91" i="11"/>
  <c r="F91" i="11"/>
  <c r="J90" i="11"/>
  <c r="H90" i="11"/>
  <c r="G90" i="11"/>
  <c r="F90" i="11"/>
  <c r="J89" i="11"/>
  <c r="H89" i="11"/>
  <c r="G89" i="11"/>
  <c r="F89" i="11"/>
  <c r="J88" i="11"/>
  <c r="H88" i="11"/>
  <c r="G88" i="11"/>
  <c r="F88" i="11"/>
  <c r="J87" i="11"/>
  <c r="H87" i="11"/>
  <c r="G87" i="11"/>
  <c r="F87" i="11"/>
  <c r="J86" i="11"/>
  <c r="H86" i="11"/>
  <c r="G86" i="11"/>
  <c r="F86" i="11"/>
  <c r="J85" i="11"/>
  <c r="H85" i="11"/>
  <c r="G85" i="11"/>
  <c r="F85" i="11"/>
  <c r="J83" i="11"/>
  <c r="H83" i="11"/>
  <c r="G83" i="11"/>
  <c r="E83" i="11"/>
  <c r="I83" i="11" s="1"/>
  <c r="J82" i="11"/>
  <c r="H82" i="11"/>
  <c r="G82" i="11"/>
  <c r="D82" i="11"/>
  <c r="F82" i="11" s="1"/>
  <c r="J81" i="11"/>
  <c r="H81" i="11"/>
  <c r="G81" i="11"/>
  <c r="D81" i="11"/>
  <c r="F81" i="11" s="1"/>
  <c r="J80" i="11"/>
  <c r="H80" i="11"/>
  <c r="G80" i="11"/>
  <c r="F80" i="11"/>
  <c r="J79" i="11"/>
  <c r="H79" i="11"/>
  <c r="G79" i="11"/>
  <c r="D79" i="11"/>
  <c r="F79" i="11" s="1"/>
  <c r="J78" i="11"/>
  <c r="H78" i="11"/>
  <c r="G78" i="11"/>
  <c r="D78" i="11"/>
  <c r="F78" i="11" s="1"/>
  <c r="J77" i="11"/>
  <c r="H77" i="11"/>
  <c r="G77" i="11"/>
  <c r="D77" i="11"/>
  <c r="F77" i="11" s="1"/>
  <c r="J76" i="11"/>
  <c r="H76" i="11"/>
  <c r="G76" i="11"/>
  <c r="F76" i="11"/>
  <c r="D76" i="11"/>
  <c r="J75" i="11"/>
  <c r="I75" i="11"/>
  <c r="H75" i="11"/>
  <c r="G75" i="11"/>
  <c r="D75" i="11"/>
  <c r="F75" i="11" s="1"/>
  <c r="J74" i="11"/>
  <c r="H74" i="11"/>
  <c r="G74" i="11"/>
  <c r="D74" i="11"/>
  <c r="F74" i="11" s="1"/>
  <c r="J73" i="11"/>
  <c r="H73" i="11"/>
  <c r="G73" i="11"/>
  <c r="D73" i="11"/>
  <c r="F73" i="11" s="1"/>
  <c r="J72" i="11"/>
  <c r="H72" i="11"/>
  <c r="G72" i="11"/>
  <c r="F72" i="11"/>
  <c r="D72" i="11"/>
  <c r="J71" i="11"/>
  <c r="H71" i="11"/>
  <c r="G71" i="11"/>
  <c r="D71" i="11"/>
  <c r="F71" i="11" s="1"/>
  <c r="J70" i="11"/>
  <c r="H70" i="11"/>
  <c r="G70" i="11"/>
  <c r="D70" i="11"/>
  <c r="F70" i="11" s="1"/>
  <c r="J69" i="11"/>
  <c r="H69" i="11"/>
  <c r="G69" i="11"/>
  <c r="D69" i="11"/>
  <c r="J68" i="11"/>
  <c r="H68" i="11"/>
  <c r="G68" i="11"/>
  <c r="E68" i="11"/>
  <c r="I68" i="11" s="1"/>
  <c r="J67" i="11"/>
  <c r="H67" i="11"/>
  <c r="G67" i="11"/>
  <c r="F67" i="11"/>
  <c r="D67" i="11"/>
  <c r="J66" i="11"/>
  <c r="I66" i="11"/>
  <c r="H66" i="11"/>
  <c r="G66" i="11"/>
  <c r="D66" i="11"/>
  <c r="F66" i="11" s="1"/>
  <c r="J65" i="11"/>
  <c r="H65" i="11"/>
  <c r="G65" i="11"/>
  <c r="D65" i="11"/>
  <c r="F65" i="11" s="1"/>
  <c r="J64" i="11"/>
  <c r="H64" i="11"/>
  <c r="G64" i="11"/>
  <c r="D64" i="11"/>
  <c r="F64" i="11" s="1"/>
  <c r="J63" i="11"/>
  <c r="H63" i="11"/>
  <c r="G63" i="11"/>
  <c r="F63" i="11"/>
  <c r="D63" i="11"/>
  <c r="J62" i="11"/>
  <c r="H62" i="11"/>
  <c r="G62" i="11"/>
  <c r="D62" i="11"/>
  <c r="F62" i="11" s="1"/>
  <c r="J61" i="11"/>
  <c r="H61" i="11"/>
  <c r="G61" i="11"/>
  <c r="D61" i="11"/>
  <c r="F61" i="11" s="1"/>
  <c r="J60" i="11"/>
  <c r="H60" i="11"/>
  <c r="G60" i="11"/>
  <c r="D60" i="11"/>
  <c r="F60" i="11" s="1"/>
  <c r="J59" i="11"/>
  <c r="H59" i="11"/>
  <c r="G59" i="11"/>
  <c r="F59" i="11"/>
  <c r="D59" i="11"/>
  <c r="J58" i="11"/>
  <c r="I58" i="11"/>
  <c r="H58" i="11"/>
  <c r="G58" i="11"/>
  <c r="D58" i="11"/>
  <c r="F58" i="11" s="1"/>
  <c r="J57" i="11"/>
  <c r="H57" i="11"/>
  <c r="G57" i="11"/>
  <c r="D57" i="11"/>
  <c r="F57" i="11" s="1"/>
  <c r="J56" i="11"/>
  <c r="H56" i="11"/>
  <c r="G56" i="11"/>
  <c r="D56" i="11"/>
  <c r="F56" i="11" s="1"/>
  <c r="J55" i="11"/>
  <c r="H55" i="11"/>
  <c r="G55" i="11"/>
  <c r="F55" i="11"/>
  <c r="D55" i="11"/>
  <c r="D68" i="11" s="1"/>
  <c r="F68" i="11" s="1"/>
  <c r="E54" i="11"/>
  <c r="D54" i="11"/>
  <c r="J53" i="11"/>
  <c r="H53" i="11"/>
  <c r="G53" i="11"/>
  <c r="F53" i="11"/>
  <c r="J52" i="11"/>
  <c r="H52" i="11"/>
  <c r="G52" i="11"/>
  <c r="F52" i="11"/>
  <c r="J49" i="11"/>
  <c r="I49" i="11"/>
  <c r="H49" i="11"/>
  <c r="G49" i="11"/>
  <c r="D49" i="11"/>
  <c r="F49" i="11" s="1"/>
  <c r="J48" i="11"/>
  <c r="H48" i="11"/>
  <c r="G48" i="11"/>
  <c r="D48" i="11"/>
  <c r="F48" i="11" s="1"/>
  <c r="J47" i="11"/>
  <c r="H47" i="11"/>
  <c r="G47" i="11"/>
  <c r="D47" i="11"/>
  <c r="F47" i="11" s="1"/>
  <c r="J46" i="11"/>
  <c r="H46" i="11"/>
  <c r="G46" i="11"/>
  <c r="F46" i="11"/>
  <c r="D46" i="11"/>
  <c r="J45" i="11"/>
  <c r="H45" i="11"/>
  <c r="G45" i="11"/>
  <c r="D45" i="11"/>
  <c r="F45" i="11" s="1"/>
  <c r="J44" i="11"/>
  <c r="H44" i="11"/>
  <c r="G44" i="11"/>
  <c r="D44" i="11"/>
  <c r="F44" i="11" s="1"/>
  <c r="J43" i="11"/>
  <c r="H43" i="11"/>
  <c r="G43" i="11"/>
  <c r="D43" i="11"/>
  <c r="F43" i="11" s="1"/>
  <c r="J42" i="11"/>
  <c r="H42" i="11"/>
  <c r="G42" i="11"/>
  <c r="F42" i="11"/>
  <c r="D42" i="11"/>
  <c r="J41" i="11"/>
  <c r="I41" i="11"/>
  <c r="H41" i="11"/>
  <c r="G41" i="11"/>
  <c r="D41" i="11"/>
  <c r="F41" i="11" s="1"/>
  <c r="J40" i="11"/>
  <c r="H40" i="11"/>
  <c r="G40" i="11"/>
  <c r="D40" i="11"/>
  <c r="F40" i="11" s="1"/>
  <c r="J39" i="11"/>
  <c r="H39" i="11"/>
  <c r="G39" i="11"/>
  <c r="D39" i="11"/>
  <c r="F39" i="11" s="1"/>
  <c r="J38" i="11"/>
  <c r="H38" i="11"/>
  <c r="G38" i="11"/>
  <c r="F38" i="11"/>
  <c r="D38" i="11"/>
  <c r="E37" i="11"/>
  <c r="D37" i="11"/>
  <c r="J36" i="11"/>
  <c r="H36" i="11"/>
  <c r="G36" i="11"/>
  <c r="D36" i="11"/>
  <c r="J35" i="11"/>
  <c r="H35" i="11"/>
  <c r="G35" i="11"/>
  <c r="F35" i="11"/>
  <c r="J34" i="11"/>
  <c r="H34" i="11"/>
  <c r="G34" i="11"/>
  <c r="F34" i="11"/>
  <c r="J33" i="11"/>
  <c r="H33" i="11"/>
  <c r="G33" i="11"/>
  <c r="F33" i="11"/>
  <c r="J32" i="11"/>
  <c r="H32" i="11"/>
  <c r="G32" i="11"/>
  <c r="F32" i="11"/>
  <c r="J31" i="11"/>
  <c r="H31" i="11"/>
  <c r="G31" i="11"/>
  <c r="F31" i="11"/>
  <c r="J30" i="11"/>
  <c r="H30" i="11"/>
  <c r="G30" i="11"/>
  <c r="F30" i="11"/>
  <c r="J29" i="11"/>
  <c r="H29" i="11"/>
  <c r="G29" i="11"/>
  <c r="F29" i="11"/>
  <c r="J28" i="11"/>
  <c r="H28" i="11"/>
  <c r="G28" i="11"/>
  <c r="F28" i="11"/>
  <c r="J27" i="11"/>
  <c r="H27" i="11"/>
  <c r="G27" i="11"/>
  <c r="F27" i="11"/>
  <c r="J26" i="11"/>
  <c r="H26" i="11"/>
  <c r="G26" i="11"/>
  <c r="F26" i="11"/>
  <c r="J25" i="11"/>
  <c r="H25" i="11"/>
  <c r="G25" i="11"/>
  <c r="F25" i="11"/>
  <c r="J24" i="11"/>
  <c r="H24" i="11"/>
  <c r="G24" i="11"/>
  <c r="F24" i="11"/>
  <c r="J23" i="11"/>
  <c r="H23" i="11"/>
  <c r="G23" i="11"/>
  <c r="F23" i="11"/>
  <c r="J22" i="11"/>
  <c r="H22" i="11"/>
  <c r="G22" i="11"/>
  <c r="F22" i="11"/>
  <c r="J21" i="11"/>
  <c r="H21" i="11"/>
  <c r="G21" i="11"/>
  <c r="F21" i="11"/>
  <c r="J20" i="11"/>
  <c r="H20" i="11"/>
  <c r="G20" i="11"/>
  <c r="F20" i="11"/>
  <c r="J19" i="11"/>
  <c r="H19" i="11"/>
  <c r="G19" i="11"/>
  <c r="F19" i="11"/>
  <c r="J18" i="11"/>
  <c r="H18" i="11"/>
  <c r="G18" i="11"/>
  <c r="F18" i="11"/>
  <c r="J17" i="11"/>
  <c r="H17" i="11"/>
  <c r="G17" i="11"/>
  <c r="F17" i="11"/>
  <c r="D13" i="11"/>
  <c r="I81" i="11" s="1"/>
  <c r="E183" i="10"/>
  <c r="J182" i="10"/>
  <c r="H182" i="10"/>
  <c r="G182" i="10"/>
  <c r="F182" i="10"/>
  <c r="J181" i="10"/>
  <c r="H181" i="10"/>
  <c r="G181" i="10"/>
  <c r="F181" i="10"/>
  <c r="E181" i="10"/>
  <c r="J180" i="10"/>
  <c r="I180" i="10"/>
  <c r="H180" i="10"/>
  <c r="G180" i="10"/>
  <c r="F180" i="10"/>
  <c r="J178" i="10"/>
  <c r="H178" i="10"/>
  <c r="G178" i="10"/>
  <c r="F178" i="10"/>
  <c r="J177" i="10"/>
  <c r="H177" i="10"/>
  <c r="G177" i="10"/>
  <c r="F177" i="10"/>
  <c r="E177" i="10"/>
  <c r="H176" i="10"/>
  <c r="G176" i="10"/>
  <c r="E176" i="10"/>
  <c r="J176" i="10" s="1"/>
  <c r="J175" i="10"/>
  <c r="H175" i="10"/>
  <c r="G175" i="10"/>
  <c r="F175" i="10"/>
  <c r="H174" i="10"/>
  <c r="E174" i="10"/>
  <c r="J173" i="10"/>
  <c r="H173" i="10"/>
  <c r="G173" i="10"/>
  <c r="F173" i="10"/>
  <c r="J172" i="10"/>
  <c r="H172" i="10"/>
  <c r="G172" i="10"/>
  <c r="F172" i="10"/>
  <c r="J171" i="10"/>
  <c r="H171" i="10"/>
  <c r="G171" i="10"/>
  <c r="F171" i="10"/>
  <c r="E170" i="10"/>
  <c r="J170" i="10" s="1"/>
  <c r="J169" i="10"/>
  <c r="H169" i="10"/>
  <c r="G169" i="10"/>
  <c r="F169" i="10"/>
  <c r="E167" i="10"/>
  <c r="J166" i="10"/>
  <c r="H166" i="10"/>
  <c r="G166" i="10"/>
  <c r="F166" i="10"/>
  <c r="J165" i="10"/>
  <c r="H165" i="10"/>
  <c r="G165" i="10"/>
  <c r="F165" i="10"/>
  <c r="J164" i="10"/>
  <c r="H164" i="10"/>
  <c r="G164" i="10"/>
  <c r="F164" i="10"/>
  <c r="J163" i="10"/>
  <c r="H163" i="10"/>
  <c r="G163" i="10"/>
  <c r="F163" i="10"/>
  <c r="J162" i="10"/>
  <c r="H162" i="10"/>
  <c r="G162" i="10"/>
  <c r="F162" i="10"/>
  <c r="J161" i="10"/>
  <c r="H161" i="10"/>
  <c r="G161" i="10"/>
  <c r="F161" i="10"/>
  <c r="J160" i="10"/>
  <c r="H160" i="10"/>
  <c r="G160" i="10"/>
  <c r="F160" i="10"/>
  <c r="J159" i="10"/>
  <c r="H159" i="10"/>
  <c r="G159" i="10"/>
  <c r="F159" i="10"/>
  <c r="J158" i="10"/>
  <c r="H158" i="10"/>
  <c r="G158" i="10"/>
  <c r="F158" i="10"/>
  <c r="J157" i="10"/>
  <c r="H157" i="10"/>
  <c r="G157" i="10"/>
  <c r="F157" i="10"/>
  <c r="J156" i="10"/>
  <c r="H156" i="10"/>
  <c r="G156" i="10"/>
  <c r="F156" i="10"/>
  <c r="J155" i="10"/>
  <c r="H155" i="10"/>
  <c r="G155" i="10"/>
  <c r="F155" i="10"/>
  <c r="J154" i="10"/>
  <c r="H154" i="10"/>
  <c r="G154" i="10"/>
  <c r="F154" i="10"/>
  <c r="J153" i="10"/>
  <c r="H153" i="10"/>
  <c r="G153" i="10"/>
  <c r="F153" i="10"/>
  <c r="H152" i="10"/>
  <c r="E152" i="10"/>
  <c r="I152" i="10" s="1"/>
  <c r="J151" i="10"/>
  <c r="H151" i="10"/>
  <c r="G151" i="10"/>
  <c r="F151" i="10"/>
  <c r="J150" i="10"/>
  <c r="H150" i="10"/>
  <c r="G150" i="10"/>
  <c r="F150" i="10"/>
  <c r="J149" i="10"/>
  <c r="H149" i="10"/>
  <c r="G149" i="10"/>
  <c r="F149" i="10"/>
  <c r="J148" i="10"/>
  <c r="H148" i="10"/>
  <c r="G148" i="10"/>
  <c r="F148" i="10"/>
  <c r="J147" i="10"/>
  <c r="H147" i="10"/>
  <c r="G147" i="10"/>
  <c r="F147" i="10"/>
  <c r="J146" i="10"/>
  <c r="H146" i="10"/>
  <c r="G146" i="10"/>
  <c r="F146" i="10"/>
  <c r="J145" i="10"/>
  <c r="H145" i="10"/>
  <c r="G145" i="10"/>
  <c r="F145" i="10"/>
  <c r="J144" i="10"/>
  <c r="H144" i="10"/>
  <c r="G144" i="10"/>
  <c r="F144" i="10"/>
  <c r="J143" i="10"/>
  <c r="H143" i="10"/>
  <c r="G143" i="10"/>
  <c r="F143" i="10"/>
  <c r="J142" i="10"/>
  <c r="H142" i="10"/>
  <c r="G142" i="10"/>
  <c r="F142" i="10"/>
  <c r="J141" i="10"/>
  <c r="H141" i="10"/>
  <c r="G141" i="10"/>
  <c r="F141" i="10"/>
  <c r="J140" i="10"/>
  <c r="I140" i="10"/>
  <c r="H140" i="10"/>
  <c r="G140" i="10"/>
  <c r="F140" i="10"/>
  <c r="J139" i="10"/>
  <c r="H139" i="10"/>
  <c r="G139" i="10"/>
  <c r="F139" i="10"/>
  <c r="J138" i="10"/>
  <c r="H138" i="10"/>
  <c r="G138" i="10"/>
  <c r="F138" i="10"/>
  <c r="J136" i="10"/>
  <c r="G136" i="10"/>
  <c r="F136" i="10"/>
  <c r="E136" i="10"/>
  <c r="J135" i="10"/>
  <c r="H135" i="10"/>
  <c r="G135" i="10"/>
  <c r="F135" i="10"/>
  <c r="J134" i="10"/>
  <c r="H134" i="10"/>
  <c r="G134" i="10"/>
  <c r="F134" i="10"/>
  <c r="E133" i="10"/>
  <c r="J132" i="10"/>
  <c r="H132" i="10"/>
  <c r="G132" i="10"/>
  <c r="F132" i="10"/>
  <c r="J131" i="10"/>
  <c r="H131" i="10"/>
  <c r="G131" i="10"/>
  <c r="F131" i="10"/>
  <c r="J130" i="10"/>
  <c r="H130" i="10"/>
  <c r="G130" i="10"/>
  <c r="F130" i="10"/>
  <c r="J129" i="10"/>
  <c r="H129" i="10"/>
  <c r="G129" i="10"/>
  <c r="F129" i="10"/>
  <c r="J128" i="10"/>
  <c r="H128" i="10"/>
  <c r="G128" i="10"/>
  <c r="F128" i="10"/>
  <c r="J127" i="10"/>
  <c r="H127" i="10"/>
  <c r="G127" i="10"/>
  <c r="F127" i="10"/>
  <c r="J126" i="10"/>
  <c r="H126" i="10"/>
  <c r="G126" i="10"/>
  <c r="F126" i="10"/>
  <c r="J125" i="10"/>
  <c r="H125" i="10"/>
  <c r="G125" i="10"/>
  <c r="F125" i="10"/>
  <c r="J124" i="10"/>
  <c r="H124" i="10"/>
  <c r="G124" i="10"/>
  <c r="F124" i="10"/>
  <c r="J123" i="10"/>
  <c r="H123" i="10"/>
  <c r="G123" i="10"/>
  <c r="F123" i="10"/>
  <c r="J122" i="10"/>
  <c r="H122" i="10"/>
  <c r="G122" i="10"/>
  <c r="F122" i="10"/>
  <c r="J121" i="10"/>
  <c r="H121" i="10"/>
  <c r="G121" i="10"/>
  <c r="F121" i="10"/>
  <c r="J120" i="10"/>
  <c r="H120" i="10"/>
  <c r="G120" i="10"/>
  <c r="F120" i="10"/>
  <c r="I118" i="10"/>
  <c r="E118" i="10"/>
  <c r="J118" i="10" s="1"/>
  <c r="J117" i="10"/>
  <c r="H117" i="10"/>
  <c r="G117" i="10"/>
  <c r="F117" i="10"/>
  <c r="J116" i="10"/>
  <c r="H116" i="10"/>
  <c r="G116" i="10"/>
  <c r="F116" i="10"/>
  <c r="J115" i="10"/>
  <c r="H115" i="10"/>
  <c r="G115" i="10"/>
  <c r="F115" i="10"/>
  <c r="J114" i="10"/>
  <c r="H114" i="10"/>
  <c r="G114" i="10"/>
  <c r="F114" i="10"/>
  <c r="J113" i="10"/>
  <c r="H113" i="10"/>
  <c r="G113" i="10"/>
  <c r="F113" i="10"/>
  <c r="J112" i="10"/>
  <c r="H112" i="10"/>
  <c r="G112" i="10"/>
  <c r="F112" i="10"/>
  <c r="J111" i="10"/>
  <c r="H111" i="10"/>
  <c r="G111" i="10"/>
  <c r="F111" i="10"/>
  <c r="J110" i="10"/>
  <c r="H110" i="10"/>
  <c r="G110" i="10"/>
  <c r="F110" i="10"/>
  <c r="J109" i="10"/>
  <c r="H109" i="10"/>
  <c r="G109" i="10"/>
  <c r="F109" i="10"/>
  <c r="J108" i="10"/>
  <c r="H108" i="10"/>
  <c r="G108" i="10"/>
  <c r="F108" i="10"/>
  <c r="J107" i="10"/>
  <c r="H107" i="10"/>
  <c r="G107" i="10"/>
  <c r="F107" i="10"/>
  <c r="J106" i="10"/>
  <c r="H106" i="10"/>
  <c r="G106" i="10"/>
  <c r="F106" i="10"/>
  <c r="J105" i="10"/>
  <c r="H105" i="10"/>
  <c r="G105" i="10"/>
  <c r="F105" i="10"/>
  <c r="J104" i="10"/>
  <c r="H104" i="10"/>
  <c r="G104" i="10"/>
  <c r="F104" i="10"/>
  <c r="J103" i="10"/>
  <c r="H103" i="10"/>
  <c r="G103" i="10"/>
  <c r="F103" i="10"/>
  <c r="J102" i="10"/>
  <c r="H102" i="10"/>
  <c r="G102" i="10"/>
  <c r="F102" i="10"/>
  <c r="J101" i="10"/>
  <c r="H101" i="10"/>
  <c r="G101" i="10"/>
  <c r="F101" i="10"/>
  <c r="J100" i="10"/>
  <c r="H100" i="10"/>
  <c r="G100" i="10"/>
  <c r="F100" i="10"/>
  <c r="J99" i="10"/>
  <c r="H99" i="10"/>
  <c r="G99" i="10"/>
  <c r="F99" i="10"/>
  <c r="J98" i="10"/>
  <c r="H98" i="10"/>
  <c r="G98" i="10"/>
  <c r="F98" i="10"/>
  <c r="J97" i="10"/>
  <c r="H97" i="10"/>
  <c r="G97" i="10"/>
  <c r="F97" i="10"/>
  <c r="J96" i="10"/>
  <c r="H96" i="10"/>
  <c r="G96" i="10"/>
  <c r="F96" i="10"/>
  <c r="J95" i="10"/>
  <c r="H95" i="10"/>
  <c r="G95" i="10"/>
  <c r="F95" i="10"/>
  <c r="J94" i="10"/>
  <c r="H94" i="10"/>
  <c r="G94" i="10"/>
  <c r="F94" i="10"/>
  <c r="J93" i="10"/>
  <c r="H93" i="10"/>
  <c r="G93" i="10"/>
  <c r="F93" i="10"/>
  <c r="J92" i="10"/>
  <c r="H92" i="10"/>
  <c r="G92" i="10"/>
  <c r="F92" i="10"/>
  <c r="J91" i="10"/>
  <c r="H91" i="10"/>
  <c r="G91" i="10"/>
  <c r="F91" i="10"/>
  <c r="J90" i="10"/>
  <c r="H90" i="10"/>
  <c r="G90" i="10"/>
  <c r="F90" i="10"/>
  <c r="E90" i="10"/>
  <c r="J89" i="10"/>
  <c r="H89" i="10"/>
  <c r="G89" i="10"/>
  <c r="F89" i="10"/>
  <c r="J88" i="10"/>
  <c r="H88" i="10"/>
  <c r="G88" i="10"/>
  <c r="F88" i="10"/>
  <c r="J87" i="10"/>
  <c r="H87" i="10"/>
  <c r="G87" i="10"/>
  <c r="F87" i="10"/>
  <c r="J86" i="10"/>
  <c r="H86" i="10"/>
  <c r="G86" i="10"/>
  <c r="F86" i="10"/>
  <c r="J85" i="10"/>
  <c r="I85" i="10"/>
  <c r="H85" i="10"/>
  <c r="G85" i="10"/>
  <c r="F85" i="10"/>
  <c r="J84" i="10"/>
  <c r="H84" i="10"/>
  <c r="G84" i="10"/>
  <c r="F84" i="10"/>
  <c r="J83" i="10"/>
  <c r="H83" i="10"/>
  <c r="G83" i="10"/>
  <c r="F83" i="10"/>
  <c r="J82" i="10"/>
  <c r="H82" i="10"/>
  <c r="G82" i="10"/>
  <c r="F82" i="10"/>
  <c r="J81" i="10"/>
  <c r="H81" i="10"/>
  <c r="G81" i="10"/>
  <c r="F81" i="10"/>
  <c r="J80" i="10"/>
  <c r="H80" i="10"/>
  <c r="G80" i="10"/>
  <c r="F80" i="10"/>
  <c r="J79" i="10"/>
  <c r="H79" i="10"/>
  <c r="G79" i="10"/>
  <c r="F79" i="10"/>
  <c r="J78" i="10"/>
  <c r="H78" i="10"/>
  <c r="G78" i="10"/>
  <c r="F78" i="10"/>
  <c r="J77" i="10"/>
  <c r="I77" i="10"/>
  <c r="H77" i="10"/>
  <c r="G77" i="10"/>
  <c r="F77" i="10"/>
  <c r="G76" i="10"/>
  <c r="E76" i="10"/>
  <c r="J75" i="10"/>
  <c r="H75" i="10"/>
  <c r="G75" i="10"/>
  <c r="F75" i="10"/>
  <c r="J74" i="10"/>
  <c r="I74" i="10"/>
  <c r="H74" i="10"/>
  <c r="G74" i="10"/>
  <c r="F74" i="10"/>
  <c r="J73" i="10"/>
  <c r="H73" i="10"/>
  <c r="G73" i="10"/>
  <c r="F73" i="10"/>
  <c r="J72" i="10"/>
  <c r="H72" i="10"/>
  <c r="G72" i="10"/>
  <c r="F72" i="10"/>
  <c r="J71" i="10"/>
  <c r="H71" i="10"/>
  <c r="G71" i="10"/>
  <c r="F71" i="10"/>
  <c r="J70" i="10"/>
  <c r="I70" i="10"/>
  <c r="H70" i="10"/>
  <c r="G70" i="10"/>
  <c r="F70" i="10"/>
  <c r="J69" i="10"/>
  <c r="H69" i="10"/>
  <c r="G69" i="10"/>
  <c r="F69" i="10"/>
  <c r="J68" i="10"/>
  <c r="I68" i="10"/>
  <c r="H68" i="10"/>
  <c r="G68" i="10"/>
  <c r="F68" i="10"/>
  <c r="J67" i="10"/>
  <c r="H67" i="10"/>
  <c r="G67" i="10"/>
  <c r="F67" i="10"/>
  <c r="J66" i="10"/>
  <c r="I66" i="10"/>
  <c r="H66" i="10"/>
  <c r="G66" i="10"/>
  <c r="F66" i="10"/>
  <c r="J65" i="10"/>
  <c r="H65" i="10"/>
  <c r="G65" i="10"/>
  <c r="F65" i="10"/>
  <c r="J64" i="10"/>
  <c r="I64" i="10"/>
  <c r="H64" i="10"/>
  <c r="G64" i="10"/>
  <c r="F64" i="10"/>
  <c r="J63" i="10"/>
  <c r="I63" i="10"/>
  <c r="H63" i="10"/>
  <c r="G63" i="10"/>
  <c r="F63" i="10"/>
  <c r="J62" i="10"/>
  <c r="I62" i="10"/>
  <c r="H62" i="10"/>
  <c r="G62" i="10"/>
  <c r="F62" i="10"/>
  <c r="J61" i="10"/>
  <c r="E61" i="10"/>
  <c r="I61" i="10" s="1"/>
  <c r="J60" i="10"/>
  <c r="I60" i="10"/>
  <c r="H60" i="10"/>
  <c r="G60" i="10"/>
  <c r="F60" i="10"/>
  <c r="J59" i="10"/>
  <c r="I59" i="10"/>
  <c r="H59" i="10"/>
  <c r="G59" i="10"/>
  <c r="F59" i="10"/>
  <c r="E58" i="10"/>
  <c r="K58" i="10" s="1"/>
  <c r="E57" i="10"/>
  <c r="K57" i="10" s="1"/>
  <c r="J56" i="10"/>
  <c r="I56" i="10"/>
  <c r="H56" i="10"/>
  <c r="G56" i="10"/>
  <c r="F56" i="10"/>
  <c r="J55" i="10"/>
  <c r="I55" i="10"/>
  <c r="H55" i="10"/>
  <c r="G55" i="10"/>
  <c r="F55" i="10"/>
  <c r="J54" i="10"/>
  <c r="I54" i="10"/>
  <c r="H54" i="10"/>
  <c r="G54" i="10"/>
  <c r="F54" i="10"/>
  <c r="J53" i="10"/>
  <c r="H53" i="10"/>
  <c r="G53" i="10"/>
  <c r="F53" i="10"/>
  <c r="J52" i="10"/>
  <c r="I52" i="10"/>
  <c r="H52" i="10"/>
  <c r="G52" i="10"/>
  <c r="F52" i="10"/>
  <c r="J51" i="10"/>
  <c r="I51" i="10"/>
  <c r="H51" i="10"/>
  <c r="G51" i="10"/>
  <c r="F51" i="10"/>
  <c r="J50" i="10"/>
  <c r="I50" i="10"/>
  <c r="H50" i="10"/>
  <c r="G50" i="10"/>
  <c r="F50" i="10"/>
  <c r="J49" i="10"/>
  <c r="H49" i="10"/>
  <c r="G49" i="10"/>
  <c r="F49" i="10"/>
  <c r="J48" i="10"/>
  <c r="I48" i="10"/>
  <c r="H48" i="10"/>
  <c r="G48" i="10"/>
  <c r="F48" i="10"/>
  <c r="J47" i="10"/>
  <c r="I47" i="10"/>
  <c r="H47" i="10"/>
  <c r="G47" i="10"/>
  <c r="F47" i="10"/>
  <c r="J46" i="10"/>
  <c r="I46" i="10"/>
  <c r="H46" i="10"/>
  <c r="G46" i="10"/>
  <c r="F46" i="10"/>
  <c r="J45" i="10"/>
  <c r="H45" i="10"/>
  <c r="G45" i="10"/>
  <c r="F45" i="10"/>
  <c r="J44" i="10"/>
  <c r="I44" i="10"/>
  <c r="H44" i="10"/>
  <c r="G44" i="10"/>
  <c r="F44" i="10"/>
  <c r="J43" i="10"/>
  <c r="I43" i="10"/>
  <c r="H43" i="10"/>
  <c r="G43" i="10"/>
  <c r="F43" i="10"/>
  <c r="J42" i="10"/>
  <c r="I42" i="10"/>
  <c r="H42" i="10"/>
  <c r="G42" i="10"/>
  <c r="F42" i="10"/>
  <c r="J41" i="10"/>
  <c r="H41" i="10"/>
  <c r="G41" i="10"/>
  <c r="F41" i="10"/>
  <c r="J40" i="10"/>
  <c r="I40" i="10"/>
  <c r="H40" i="10"/>
  <c r="G40" i="10"/>
  <c r="F40" i="10"/>
  <c r="J39" i="10"/>
  <c r="I39" i="10"/>
  <c r="H39" i="10"/>
  <c r="G39" i="10"/>
  <c r="F39" i="10"/>
  <c r="J38" i="10"/>
  <c r="I38" i="10"/>
  <c r="H38" i="10"/>
  <c r="G38" i="10"/>
  <c r="F38" i="10"/>
  <c r="J37" i="10"/>
  <c r="H37" i="10"/>
  <c r="G37" i="10"/>
  <c r="F37" i="10"/>
  <c r="J36" i="10"/>
  <c r="I36" i="10"/>
  <c r="H36" i="10"/>
  <c r="G36" i="10"/>
  <c r="F36" i="10"/>
  <c r="J35" i="10"/>
  <c r="I35" i="10"/>
  <c r="H35" i="10"/>
  <c r="G35" i="10"/>
  <c r="F35" i="10"/>
  <c r="J34" i="10"/>
  <c r="I34" i="10"/>
  <c r="H34" i="10"/>
  <c r="G34" i="10"/>
  <c r="F34" i="10"/>
  <c r="J33" i="10"/>
  <c r="H33" i="10"/>
  <c r="G33" i="10"/>
  <c r="F33" i="10"/>
  <c r="J32" i="10"/>
  <c r="I32" i="10"/>
  <c r="H32" i="10"/>
  <c r="G32" i="10"/>
  <c r="F32" i="10"/>
  <c r="J31" i="10"/>
  <c r="I31" i="10"/>
  <c r="H31" i="10"/>
  <c r="G31" i="10"/>
  <c r="F31" i="10"/>
  <c r="J30" i="10"/>
  <c r="I30" i="10"/>
  <c r="H30" i="10"/>
  <c r="G30" i="10"/>
  <c r="F30" i="10"/>
  <c r="J29" i="10"/>
  <c r="H29" i="10"/>
  <c r="G29" i="10"/>
  <c r="F29" i="10"/>
  <c r="J28" i="10"/>
  <c r="I28" i="10"/>
  <c r="H28" i="10"/>
  <c r="G28" i="10"/>
  <c r="F28" i="10"/>
  <c r="J27" i="10"/>
  <c r="I27" i="10"/>
  <c r="H27" i="10"/>
  <c r="G27" i="10"/>
  <c r="F27" i="10"/>
  <c r="J26" i="10"/>
  <c r="I26" i="10"/>
  <c r="H26" i="10"/>
  <c r="G26" i="10"/>
  <c r="F26" i="10"/>
  <c r="J25" i="10"/>
  <c r="H25" i="10"/>
  <c r="G25" i="10"/>
  <c r="F25" i="10"/>
  <c r="J24" i="10"/>
  <c r="I24" i="10"/>
  <c r="H24" i="10"/>
  <c r="G24" i="10"/>
  <c r="F24" i="10"/>
  <c r="J23" i="10"/>
  <c r="I23" i="10"/>
  <c r="H23" i="10"/>
  <c r="G23" i="10"/>
  <c r="F23" i="10"/>
  <c r="J22" i="10"/>
  <c r="I22" i="10"/>
  <c r="H22" i="10"/>
  <c r="G22" i="10"/>
  <c r="F22" i="10"/>
  <c r="J21" i="10"/>
  <c r="H21" i="10"/>
  <c r="G21" i="10"/>
  <c r="F21" i="10"/>
  <c r="J20" i="10"/>
  <c r="I20" i="10"/>
  <c r="H20" i="10"/>
  <c r="G20" i="10"/>
  <c r="F20" i="10"/>
  <c r="J19" i="10"/>
  <c r="I19" i="10"/>
  <c r="H19" i="10"/>
  <c r="G19" i="10"/>
  <c r="F19" i="10"/>
  <c r="J18" i="10"/>
  <c r="I18" i="10"/>
  <c r="H18" i="10"/>
  <c r="G18" i="10"/>
  <c r="F18" i="10"/>
  <c r="J17" i="10"/>
  <c r="H17" i="10"/>
  <c r="G17" i="10"/>
  <c r="F17" i="10"/>
  <c r="D15" i="10"/>
  <c r="D13" i="10"/>
  <c r="I135" i="10" s="1"/>
  <c r="D82" i="1"/>
  <c r="D81" i="1"/>
  <c r="D80" i="1"/>
  <c r="K66" i="1"/>
  <c r="D62" i="1"/>
  <c r="J59" i="1"/>
  <c r="F59" i="1"/>
  <c r="D59" i="1"/>
  <c r="K58" i="1"/>
  <c r="J58" i="1"/>
  <c r="G58" i="1"/>
  <c r="F58" i="1"/>
  <c r="E58" i="1"/>
  <c r="D58" i="1"/>
  <c r="K57" i="1"/>
  <c r="J57" i="1"/>
  <c r="G57" i="1"/>
  <c r="F57" i="1"/>
  <c r="E57" i="1"/>
  <c r="D57" i="1"/>
  <c r="D50" i="1"/>
  <c r="J47" i="1"/>
  <c r="D47" i="1"/>
  <c r="H47" i="1" s="1"/>
  <c r="K46" i="1"/>
  <c r="J46" i="1"/>
  <c r="G46" i="1"/>
  <c r="E46" i="1"/>
  <c r="D46" i="1"/>
  <c r="H46" i="1" s="1"/>
  <c r="K45" i="1"/>
  <c r="J45" i="1"/>
  <c r="G45" i="1"/>
  <c r="E45" i="1"/>
  <c r="D45" i="1"/>
  <c r="J44" i="1"/>
  <c r="D44" i="1"/>
  <c r="K43" i="1"/>
  <c r="J43" i="1"/>
  <c r="G43" i="1"/>
  <c r="I43" i="1" s="1"/>
  <c r="E43" i="1"/>
  <c r="D43" i="1"/>
  <c r="K42" i="1"/>
  <c r="J42" i="1"/>
  <c r="G42" i="1"/>
  <c r="E42" i="1"/>
  <c r="I42" i="1" s="1"/>
  <c r="D42" i="1"/>
  <c r="J41" i="1"/>
  <c r="D41" i="1"/>
  <c r="D48" i="1" s="1"/>
  <c r="K40" i="1"/>
  <c r="J40" i="1"/>
  <c r="G40" i="1"/>
  <c r="E40" i="1"/>
  <c r="D40" i="1"/>
  <c r="H40" i="1" s="1"/>
  <c r="K39" i="1"/>
  <c r="J39" i="1"/>
  <c r="G39" i="1"/>
  <c r="E39" i="1"/>
  <c r="D39" i="1"/>
  <c r="D35" i="1"/>
  <c r="J26" i="1"/>
  <c r="D26" i="1"/>
  <c r="K25" i="1"/>
  <c r="J25" i="1"/>
  <c r="E25" i="1"/>
  <c r="D25" i="1"/>
  <c r="H25" i="1" s="1"/>
  <c r="K24" i="1"/>
  <c r="J24" i="1"/>
  <c r="E24" i="1"/>
  <c r="D24" i="1"/>
  <c r="H24" i="1" s="1"/>
  <c r="J23" i="1"/>
  <c r="D23" i="1"/>
  <c r="K22" i="1"/>
  <c r="J22" i="1"/>
  <c r="E22" i="1"/>
  <c r="D22" i="1"/>
  <c r="K21" i="1"/>
  <c r="J21" i="1"/>
  <c r="E21" i="1"/>
  <c r="D21" i="1"/>
  <c r="I18" i="1"/>
  <c r="H18" i="1"/>
  <c r="E18" i="1"/>
  <c r="D18" i="1"/>
  <c r="I16" i="1"/>
  <c r="H16" i="1"/>
  <c r="K16" i="1" s="1"/>
  <c r="E16" i="1"/>
  <c r="D16" i="1"/>
  <c r="I15" i="1"/>
  <c r="H15" i="1"/>
  <c r="E15" i="1"/>
  <c r="D15" i="1"/>
  <c r="H12" i="1"/>
  <c r="E12" i="1"/>
  <c r="G3" i="14" s="1"/>
  <c r="D12" i="1"/>
  <c r="I11" i="1"/>
  <c r="H11" i="1"/>
  <c r="E11" i="1"/>
  <c r="D11" i="1"/>
  <c r="I10" i="1"/>
  <c r="H10" i="1"/>
  <c r="E10" i="1"/>
  <c r="D10" i="1"/>
  <c r="I7" i="1"/>
  <c r="H7" i="1"/>
  <c r="E7" i="1"/>
  <c r="D7" i="1"/>
  <c r="I6" i="1"/>
  <c r="H6" i="1"/>
  <c r="E6" i="1"/>
  <c r="D6" i="1"/>
  <c r="I5" i="1"/>
  <c r="H5" i="1"/>
  <c r="E5" i="1"/>
  <c r="G2" i="14" s="1"/>
  <c r="D5" i="1"/>
  <c r="H57" i="1" l="1"/>
  <c r="I8" i="1"/>
  <c r="H1" i="14" s="1"/>
  <c r="H2" i="14"/>
  <c r="H80" i="1"/>
  <c r="I45" i="1"/>
  <c r="H81" i="1"/>
  <c r="K81" i="1" s="1"/>
  <c r="H82" i="1"/>
  <c r="K82" i="1" s="1"/>
  <c r="K6" i="1"/>
  <c r="G6" i="1"/>
  <c r="I55" i="1"/>
  <c r="G10" i="1"/>
  <c r="D60" i="1"/>
  <c r="I40" i="1"/>
  <c r="G47" i="1"/>
  <c r="I57" i="1"/>
  <c r="G44" i="1"/>
  <c r="H54" i="1"/>
  <c r="H21" i="1"/>
  <c r="I24" i="1"/>
  <c r="I39" i="1"/>
  <c r="H59" i="1"/>
  <c r="I54" i="1"/>
  <c r="I22" i="1"/>
  <c r="I21" i="1"/>
  <c r="H26" i="1"/>
  <c r="H41" i="1"/>
  <c r="I46" i="1"/>
  <c r="H45" i="1"/>
  <c r="G7" i="1"/>
  <c r="F12" i="1"/>
  <c r="G12" i="1"/>
  <c r="G11" i="1"/>
  <c r="J60" i="1"/>
  <c r="K47" i="1"/>
  <c r="K59" i="1"/>
  <c r="K44" i="1"/>
  <c r="K26" i="1"/>
  <c r="J48" i="1"/>
  <c r="K56" i="1"/>
  <c r="H56" i="1"/>
  <c r="K32" i="1"/>
  <c r="F33" i="1"/>
  <c r="I31" i="1"/>
  <c r="E32" i="1"/>
  <c r="I30" i="1"/>
  <c r="H32" i="1"/>
  <c r="D33" i="1"/>
  <c r="H31" i="1"/>
  <c r="H30" i="1"/>
  <c r="H29" i="1"/>
  <c r="G32" i="1"/>
  <c r="H28" i="1"/>
  <c r="E29" i="1"/>
  <c r="H27" i="1"/>
  <c r="I28" i="1"/>
  <c r="I27" i="1"/>
  <c r="F10" i="1"/>
  <c r="I12" i="1"/>
  <c r="H22" i="1"/>
  <c r="E26" i="1"/>
  <c r="I25" i="1"/>
  <c r="K5" i="1"/>
  <c r="K7" i="1"/>
  <c r="H44" i="1"/>
  <c r="H39" i="1"/>
  <c r="E44" i="1"/>
  <c r="H43" i="1"/>
  <c r="F11" i="1"/>
  <c r="K15" i="1"/>
  <c r="K18" i="1"/>
  <c r="J33" i="1"/>
  <c r="K29" i="1"/>
  <c r="H42" i="1"/>
  <c r="E47" i="1"/>
  <c r="H58" i="1"/>
  <c r="D83" i="1"/>
  <c r="D8" i="1"/>
  <c r="D14" i="1" s="1"/>
  <c r="E59" i="1"/>
  <c r="E60" i="1" s="1"/>
  <c r="I58" i="1"/>
  <c r="D79" i="1"/>
  <c r="J7" i="1"/>
  <c r="J6" i="1"/>
  <c r="J5" i="1"/>
  <c r="K11" i="1"/>
  <c r="K10" i="1"/>
  <c r="I17" i="1"/>
  <c r="I14" i="1"/>
  <c r="G5" i="1"/>
  <c r="G15" i="1"/>
  <c r="G16" i="1"/>
  <c r="G18" i="1"/>
  <c r="G23" i="1"/>
  <c r="G26" i="1"/>
  <c r="G29" i="1"/>
  <c r="K175" i="10"/>
  <c r="K165" i="10"/>
  <c r="K161" i="10"/>
  <c r="K157" i="10"/>
  <c r="K153" i="10"/>
  <c r="K131" i="10"/>
  <c r="K127" i="10"/>
  <c r="K123" i="10"/>
  <c r="K114" i="10"/>
  <c r="K110" i="10"/>
  <c r="K106" i="10"/>
  <c r="K102" i="10"/>
  <c r="K98" i="10"/>
  <c r="K94" i="10"/>
  <c r="K73" i="10"/>
  <c r="K69" i="10"/>
  <c r="K182" i="10"/>
  <c r="K177" i="10"/>
  <c r="K166" i="10"/>
  <c r="K162" i="10"/>
  <c r="K158" i="10"/>
  <c r="K154" i="10"/>
  <c r="K132" i="10"/>
  <c r="K128" i="10"/>
  <c r="K124" i="10"/>
  <c r="K120" i="10"/>
  <c r="K115" i="10"/>
  <c r="K111" i="10"/>
  <c r="K107" i="10"/>
  <c r="K103" i="10"/>
  <c r="K99" i="10"/>
  <c r="K95" i="10"/>
  <c r="K91" i="10"/>
  <c r="K74" i="10"/>
  <c r="K70" i="10"/>
  <c r="K172" i="10"/>
  <c r="K150" i="10"/>
  <c r="K146" i="10"/>
  <c r="K142" i="10"/>
  <c r="K138" i="10"/>
  <c r="K87" i="10"/>
  <c r="K83" i="10"/>
  <c r="K79" i="10"/>
  <c r="K178" i="10"/>
  <c r="K163" i="10"/>
  <c r="K159" i="10"/>
  <c r="K155" i="10"/>
  <c r="K129" i="10"/>
  <c r="K125" i="10"/>
  <c r="K121" i="10"/>
  <c r="K116" i="10"/>
  <c r="K112" i="10"/>
  <c r="K108" i="10"/>
  <c r="K104" i="10"/>
  <c r="K100" i="10"/>
  <c r="K96" i="10"/>
  <c r="K92" i="10"/>
  <c r="K173" i="10"/>
  <c r="K151" i="10"/>
  <c r="K147" i="10"/>
  <c r="K143" i="10"/>
  <c r="K139" i="10"/>
  <c r="K134" i="10"/>
  <c r="K169" i="10"/>
  <c r="K164" i="10"/>
  <c r="K160" i="10"/>
  <c r="K156" i="10"/>
  <c r="K130" i="10"/>
  <c r="K126" i="10"/>
  <c r="K122" i="10"/>
  <c r="K117" i="10"/>
  <c r="K113" i="10"/>
  <c r="K109" i="10"/>
  <c r="K105" i="10"/>
  <c r="K101" i="10"/>
  <c r="K97" i="10"/>
  <c r="K93" i="10"/>
  <c r="K72" i="10"/>
  <c r="K68" i="10"/>
  <c r="K180" i="10"/>
  <c r="K148" i="10"/>
  <c r="K144" i="10"/>
  <c r="K140" i="10"/>
  <c r="K135" i="10"/>
  <c r="K89" i="10"/>
  <c r="K85" i="10"/>
  <c r="K81" i="10"/>
  <c r="K77" i="10"/>
  <c r="K20" i="10"/>
  <c r="K24" i="10"/>
  <c r="K28" i="10"/>
  <c r="K32" i="10"/>
  <c r="K36" i="10"/>
  <c r="K40" i="10"/>
  <c r="K44" i="10"/>
  <c r="K48" i="10"/>
  <c r="K52" i="10"/>
  <c r="K56" i="10"/>
  <c r="K80" i="10"/>
  <c r="K88" i="10"/>
  <c r="K136" i="10"/>
  <c r="K145" i="10"/>
  <c r="H8" i="1"/>
  <c r="K8" i="1" s="1"/>
  <c r="H23" i="1"/>
  <c r="F58" i="10"/>
  <c r="K61" i="10"/>
  <c r="K65" i="10"/>
  <c r="K75" i="10"/>
  <c r="K171" i="10"/>
  <c r="K41" i="1"/>
  <c r="K19" i="10"/>
  <c r="K23" i="10"/>
  <c r="K27" i="10"/>
  <c r="K31" i="10"/>
  <c r="K35" i="10"/>
  <c r="K39" i="10"/>
  <c r="K43" i="10"/>
  <c r="K47" i="10"/>
  <c r="K51" i="10"/>
  <c r="K55" i="10"/>
  <c r="F57" i="10"/>
  <c r="G58" i="10"/>
  <c r="K60" i="10"/>
  <c r="H76" i="10"/>
  <c r="F76" i="10"/>
  <c r="J76" i="10"/>
  <c r="I76" i="10"/>
  <c r="I79" i="10"/>
  <c r="K82" i="10"/>
  <c r="I87" i="10"/>
  <c r="I144" i="10"/>
  <c r="K149" i="10"/>
  <c r="I174" i="10"/>
  <c r="F37" i="11"/>
  <c r="J37" i="11"/>
  <c r="E50" i="11"/>
  <c r="I37" i="11"/>
  <c r="H37" i="11"/>
  <c r="G37" i="11"/>
  <c r="F60" i="1"/>
  <c r="H60" i="1" s="1"/>
  <c r="G57" i="10"/>
  <c r="H58" i="10"/>
  <c r="K64" i="10"/>
  <c r="K176" i="10"/>
  <c r="K181" i="10"/>
  <c r="K23" i="1"/>
  <c r="E41" i="1"/>
  <c r="G56" i="1"/>
  <c r="G59" i="1"/>
  <c r="I17" i="10"/>
  <c r="K18" i="10"/>
  <c r="I21" i="10"/>
  <c r="K22" i="10"/>
  <c r="I25" i="10"/>
  <c r="K26" i="10"/>
  <c r="I29" i="10"/>
  <c r="K30" i="10"/>
  <c r="I33" i="10"/>
  <c r="K34" i="10"/>
  <c r="I37" i="10"/>
  <c r="K38" i="10"/>
  <c r="I41" i="10"/>
  <c r="K42" i="10"/>
  <c r="I45" i="10"/>
  <c r="K46" i="10"/>
  <c r="I49" i="10"/>
  <c r="K50" i="10"/>
  <c r="I53" i="10"/>
  <c r="K54" i="10"/>
  <c r="H57" i="10"/>
  <c r="I58" i="10"/>
  <c r="K59" i="10"/>
  <c r="F61" i="10"/>
  <c r="K67" i="10"/>
  <c r="K76" i="10"/>
  <c r="I81" i="10"/>
  <c r="K84" i="10"/>
  <c r="I89" i="10"/>
  <c r="I148" i="10"/>
  <c r="I170" i="10"/>
  <c r="F183" i="10"/>
  <c r="K183" i="10"/>
  <c r="J183" i="10"/>
  <c r="I183" i="10"/>
  <c r="H183" i="10"/>
  <c r="G183" i="10"/>
  <c r="F48" i="1"/>
  <c r="H48" i="1" s="1"/>
  <c r="I57" i="10"/>
  <c r="J58" i="10"/>
  <c r="G61" i="10"/>
  <c r="K63" i="10"/>
  <c r="F167" i="10"/>
  <c r="E168" i="10"/>
  <c r="K167" i="10"/>
  <c r="J167" i="10"/>
  <c r="I167" i="10"/>
  <c r="H167" i="10"/>
  <c r="G167" i="10"/>
  <c r="F36" i="11"/>
  <c r="D50" i="11"/>
  <c r="D51" i="11" s="1"/>
  <c r="F54" i="11"/>
  <c r="J54" i="11"/>
  <c r="I54" i="11"/>
  <c r="H54" i="11"/>
  <c r="G54" i="11"/>
  <c r="D83" i="11"/>
  <c r="E8" i="1"/>
  <c r="G1" i="14" s="1"/>
  <c r="E23" i="1"/>
  <c r="G41" i="1"/>
  <c r="K17" i="10"/>
  <c r="K21" i="10"/>
  <c r="K25" i="10"/>
  <c r="K29" i="10"/>
  <c r="K33" i="10"/>
  <c r="K37" i="10"/>
  <c r="K41" i="10"/>
  <c r="K45" i="10"/>
  <c r="K49" i="10"/>
  <c r="K53" i="10"/>
  <c r="J57" i="10"/>
  <c r="H61" i="10"/>
  <c r="K78" i="10"/>
  <c r="I83" i="10"/>
  <c r="K86" i="10"/>
  <c r="K90" i="10"/>
  <c r="F133" i="10"/>
  <c r="K133" i="10"/>
  <c r="J133" i="10"/>
  <c r="I133" i="10"/>
  <c r="H133" i="10"/>
  <c r="E137" i="10"/>
  <c r="E186" i="10" s="1"/>
  <c r="G133" i="10"/>
  <c r="K141" i="10"/>
  <c r="I169" i="10"/>
  <c r="I164" i="10"/>
  <c r="I160" i="10"/>
  <c r="I156" i="10"/>
  <c r="I130" i="10"/>
  <c r="I126" i="10"/>
  <c r="I122" i="10"/>
  <c r="I117" i="10"/>
  <c r="I113" i="10"/>
  <c r="I109" i="10"/>
  <c r="I105" i="10"/>
  <c r="I101" i="10"/>
  <c r="I97" i="10"/>
  <c r="I93" i="10"/>
  <c r="I72" i="10"/>
  <c r="I181" i="10"/>
  <c r="I175" i="10"/>
  <c r="I165" i="10"/>
  <c r="I161" i="10"/>
  <c r="I157" i="10"/>
  <c r="I153" i="10"/>
  <c r="I131" i="10"/>
  <c r="I127" i="10"/>
  <c r="I123" i="10"/>
  <c r="I114" i="10"/>
  <c r="I110" i="10"/>
  <c r="I106" i="10"/>
  <c r="I102" i="10"/>
  <c r="I98" i="10"/>
  <c r="I94" i="10"/>
  <c r="I73" i="10"/>
  <c r="I69" i="10"/>
  <c r="I171" i="10"/>
  <c r="I149" i="10"/>
  <c r="I145" i="10"/>
  <c r="I141" i="10"/>
  <c r="I86" i="10"/>
  <c r="I82" i="10"/>
  <c r="I78" i="10"/>
  <c r="I182" i="10"/>
  <c r="I177" i="10"/>
  <c r="I166" i="10"/>
  <c r="I162" i="10"/>
  <c r="I158" i="10"/>
  <c r="I154" i="10"/>
  <c r="I132" i="10"/>
  <c r="I128" i="10"/>
  <c r="I124" i="10"/>
  <c r="I120" i="10"/>
  <c r="I115" i="10"/>
  <c r="I111" i="10"/>
  <c r="I107" i="10"/>
  <c r="I103" i="10"/>
  <c r="I99" i="10"/>
  <c r="I95" i="10"/>
  <c r="I91" i="10"/>
  <c r="I172" i="10"/>
  <c r="I150" i="10"/>
  <c r="I146" i="10"/>
  <c r="I142" i="10"/>
  <c r="I138" i="10"/>
  <c r="I178" i="10"/>
  <c r="I163" i="10"/>
  <c r="I159" i="10"/>
  <c r="I155" i="10"/>
  <c r="I129" i="10"/>
  <c r="I125" i="10"/>
  <c r="I121" i="10"/>
  <c r="I116" i="10"/>
  <c r="I112" i="10"/>
  <c r="I108" i="10"/>
  <c r="I104" i="10"/>
  <c r="I100" i="10"/>
  <c r="I96" i="10"/>
  <c r="I92" i="10"/>
  <c r="I75" i="10"/>
  <c r="I71" i="10"/>
  <c r="I67" i="10"/>
  <c r="I173" i="10"/>
  <c r="I151" i="10"/>
  <c r="I147" i="10"/>
  <c r="I143" i="10"/>
  <c r="I139" i="10"/>
  <c r="I134" i="10"/>
  <c r="I88" i="10"/>
  <c r="I84" i="10"/>
  <c r="I80" i="10"/>
  <c r="K62" i="10"/>
  <c r="I65" i="10"/>
  <c r="K66" i="10"/>
  <c r="K71" i="10"/>
  <c r="K118" i="10"/>
  <c r="J152" i="10"/>
  <c r="K170" i="10"/>
  <c r="J174" i="10"/>
  <c r="I39" i="11"/>
  <c r="I47" i="11"/>
  <c r="I56" i="11"/>
  <c r="I64" i="11"/>
  <c r="I73" i="11"/>
  <c r="I80" i="11"/>
  <c r="I87" i="11"/>
  <c r="I91" i="11"/>
  <c r="I95" i="11"/>
  <c r="I100" i="11"/>
  <c r="I101" i="11"/>
  <c r="E119" i="10"/>
  <c r="K152" i="10"/>
  <c r="K174" i="10"/>
  <c r="F176" i="10"/>
  <c r="I20" i="11"/>
  <c r="I24" i="11"/>
  <c r="I28" i="11"/>
  <c r="I32" i="11"/>
  <c r="I38" i="11"/>
  <c r="I46" i="11"/>
  <c r="I55" i="11"/>
  <c r="I63" i="11"/>
  <c r="F69" i="11"/>
  <c r="I72" i="11"/>
  <c r="J101" i="11"/>
  <c r="I36" i="11"/>
  <c r="I45" i="11"/>
  <c r="I53" i="11"/>
  <c r="I62" i="11"/>
  <c r="I71" i="11"/>
  <c r="I79" i="11"/>
  <c r="E84" i="11"/>
  <c r="I86" i="11"/>
  <c r="I90" i="11"/>
  <c r="I94" i="11"/>
  <c r="G98" i="11"/>
  <c r="I99" i="11"/>
  <c r="F118" i="10"/>
  <c r="F170" i="10"/>
  <c r="D15" i="11"/>
  <c r="K54" i="11" s="1"/>
  <c r="I19" i="11"/>
  <c r="I23" i="11"/>
  <c r="I27" i="11"/>
  <c r="I31" i="11"/>
  <c r="I35" i="11"/>
  <c r="I44" i="11"/>
  <c r="I61" i="11"/>
  <c r="I70" i="11"/>
  <c r="I78" i="11"/>
  <c r="F104" i="11"/>
  <c r="G118" i="10"/>
  <c r="H136" i="10"/>
  <c r="F152" i="10"/>
  <c r="G170" i="10"/>
  <c r="F174" i="10"/>
  <c r="I176" i="10"/>
  <c r="E179" i="10"/>
  <c r="I43" i="11"/>
  <c r="I52" i="11"/>
  <c r="I60" i="11"/>
  <c r="I69" i="11"/>
  <c r="I77" i="11"/>
  <c r="I85" i="11"/>
  <c r="I89" i="11"/>
  <c r="I93" i="11"/>
  <c r="I97" i="11"/>
  <c r="I98" i="11"/>
  <c r="E102" i="11"/>
  <c r="I90" i="10"/>
  <c r="H118" i="10"/>
  <c r="I136" i="10"/>
  <c r="G152" i="10"/>
  <c r="H170" i="10"/>
  <c r="G174" i="10"/>
  <c r="I18" i="11"/>
  <c r="I22" i="11"/>
  <c r="I26" i="11"/>
  <c r="I30" i="11"/>
  <c r="I34" i="11"/>
  <c r="I42" i="11"/>
  <c r="I59" i="11"/>
  <c r="I67" i="11"/>
  <c r="I76" i="11"/>
  <c r="F101" i="11"/>
  <c r="I82" i="11"/>
  <c r="I88" i="11"/>
  <c r="I92" i="11"/>
  <c r="I96" i="11"/>
  <c r="G101" i="11"/>
  <c r="I103" i="11"/>
  <c r="I104" i="11"/>
  <c r="I17" i="11"/>
  <c r="I21" i="11"/>
  <c r="I25" i="11"/>
  <c r="I29" i="11"/>
  <c r="I33" i="11"/>
  <c r="I40" i="11"/>
  <c r="I48" i="11"/>
  <c r="I57" i="11"/>
  <c r="I65" i="11"/>
  <c r="I74" i="11"/>
  <c r="I26" i="1" l="1"/>
  <c r="I44" i="1"/>
  <c r="K48" i="1"/>
  <c r="K78" i="1"/>
  <c r="K74" i="1"/>
  <c r="K70" i="1"/>
  <c r="K77" i="1"/>
  <c r="K73" i="1"/>
  <c r="K68" i="1"/>
  <c r="K71" i="1"/>
  <c r="K69" i="1"/>
  <c r="K76" i="1"/>
  <c r="K72" i="1"/>
  <c r="K75" i="1"/>
  <c r="K67" i="1"/>
  <c r="G73" i="1"/>
  <c r="G72" i="1"/>
  <c r="G78" i="1"/>
  <c r="G74" i="1"/>
  <c r="G68" i="1"/>
  <c r="G67" i="1"/>
  <c r="G76" i="1"/>
  <c r="G71" i="1"/>
  <c r="G69" i="1"/>
  <c r="G75" i="1"/>
  <c r="G77" i="1"/>
  <c r="G70" i="1"/>
  <c r="G82" i="1"/>
  <c r="I47" i="1"/>
  <c r="J11" i="1"/>
  <c r="H3" i="14"/>
  <c r="H7" i="14" s="1"/>
  <c r="J65" i="1"/>
  <c r="H79" i="1"/>
  <c r="G80" i="1"/>
  <c r="G83" i="1" s="1"/>
  <c r="K80" i="1"/>
  <c r="K83" i="1" s="1"/>
  <c r="H83" i="1"/>
  <c r="G81" i="1"/>
  <c r="H33" i="1"/>
  <c r="D84" i="1"/>
  <c r="E85" i="1" s="1"/>
  <c r="K12" i="1"/>
  <c r="J10" i="1"/>
  <c r="J12" i="1" s="1"/>
  <c r="K60" i="1"/>
  <c r="I59" i="1"/>
  <c r="E33" i="1"/>
  <c r="E48" i="1"/>
  <c r="G33" i="1"/>
  <c r="D17" i="1"/>
  <c r="F16" i="1" s="1"/>
  <c r="I32" i="1"/>
  <c r="I29" i="1"/>
  <c r="I23" i="1"/>
  <c r="K33" i="1"/>
  <c r="I41" i="1"/>
  <c r="I186" i="10"/>
  <c r="G186" i="10"/>
  <c r="F186" i="10"/>
  <c r="K186" i="10"/>
  <c r="J186" i="10"/>
  <c r="H186" i="10"/>
  <c r="K101" i="11"/>
  <c r="J50" i="11"/>
  <c r="H50" i="11"/>
  <c r="G50" i="11"/>
  <c r="F50" i="11"/>
  <c r="E51" i="11"/>
  <c r="K50" i="11"/>
  <c r="I50" i="11"/>
  <c r="G48" i="1"/>
  <c r="I56" i="1"/>
  <c r="G60" i="1"/>
  <c r="H102" i="11"/>
  <c r="G102" i="11"/>
  <c r="F102" i="11"/>
  <c r="K102" i="11"/>
  <c r="J102" i="11"/>
  <c r="I102" i="11"/>
  <c r="H179" i="10"/>
  <c r="F179" i="10"/>
  <c r="K179" i="10"/>
  <c r="J179" i="10"/>
  <c r="I179" i="10"/>
  <c r="G179" i="10"/>
  <c r="E184" i="10"/>
  <c r="K37" i="11"/>
  <c r="K83" i="11"/>
  <c r="G79" i="1"/>
  <c r="J8" i="1"/>
  <c r="K76" i="11"/>
  <c r="K68" i="11"/>
  <c r="K67" i="11"/>
  <c r="K59" i="11"/>
  <c r="K42" i="11"/>
  <c r="K34" i="11"/>
  <c r="K30" i="11"/>
  <c r="K26" i="11"/>
  <c r="K22" i="11"/>
  <c r="K18" i="11"/>
  <c r="K97" i="11"/>
  <c r="K93" i="11"/>
  <c r="K89" i="11"/>
  <c r="K85" i="11"/>
  <c r="K78" i="11"/>
  <c r="K70" i="11"/>
  <c r="K61" i="11"/>
  <c r="K44" i="11"/>
  <c r="K35" i="11"/>
  <c r="K31" i="11"/>
  <c r="K27" i="11"/>
  <c r="K23" i="11"/>
  <c r="K19" i="11"/>
  <c r="K99" i="11"/>
  <c r="K94" i="11"/>
  <c r="K90" i="11"/>
  <c r="K86" i="11"/>
  <c r="K79" i="11"/>
  <c r="K71" i="11"/>
  <c r="K62" i="11"/>
  <c r="K53" i="11"/>
  <c r="K45" i="11"/>
  <c r="K36" i="11"/>
  <c r="K72" i="11"/>
  <c r="K63" i="11"/>
  <c r="K55" i="11"/>
  <c r="K46" i="11"/>
  <c r="K38" i="11"/>
  <c r="K32" i="11"/>
  <c r="K28" i="11"/>
  <c r="K24" i="11"/>
  <c r="K20" i="11"/>
  <c r="K100" i="11"/>
  <c r="K95" i="11"/>
  <c r="K91" i="11"/>
  <c r="K87" i="11"/>
  <c r="K80" i="11"/>
  <c r="K73" i="11"/>
  <c r="K64" i="11"/>
  <c r="K56" i="11"/>
  <c r="K47" i="11"/>
  <c r="K39" i="11"/>
  <c r="K81" i="11"/>
  <c r="K74" i="11"/>
  <c r="K65" i="11"/>
  <c r="K57" i="11"/>
  <c r="K48" i="11"/>
  <c r="K40" i="11"/>
  <c r="K33" i="11"/>
  <c r="K29" i="11"/>
  <c r="K25" i="11"/>
  <c r="K21" i="11"/>
  <c r="K17" i="11"/>
  <c r="K103" i="11"/>
  <c r="K96" i="11"/>
  <c r="K92" i="11"/>
  <c r="K88" i="11"/>
  <c r="K82" i="11"/>
  <c r="K75" i="11"/>
  <c r="K66" i="11"/>
  <c r="K58" i="11"/>
  <c r="K49" i="11"/>
  <c r="K41" i="11"/>
  <c r="K52" i="11"/>
  <c r="K43" i="11"/>
  <c r="K77" i="11"/>
  <c r="K69" i="11"/>
  <c r="K60" i="11"/>
  <c r="G168" i="10"/>
  <c r="K168" i="10"/>
  <c r="J168" i="10"/>
  <c r="I168" i="10"/>
  <c r="H168" i="10"/>
  <c r="F168" i="10"/>
  <c r="K98" i="11"/>
  <c r="H17" i="1"/>
  <c r="K17" i="1" s="1"/>
  <c r="H14" i="1"/>
  <c r="K14" i="1" s="1"/>
  <c r="K104" i="11"/>
  <c r="J137" i="10"/>
  <c r="I137" i="10"/>
  <c r="H137" i="10"/>
  <c r="G137" i="10"/>
  <c r="F137" i="10"/>
  <c r="K137" i="10"/>
  <c r="E17" i="1"/>
  <c r="E14" i="1"/>
  <c r="G14" i="1" s="1"/>
  <c r="F7" i="1"/>
  <c r="F6" i="1"/>
  <c r="F5" i="1"/>
  <c r="F8" i="1" s="1"/>
  <c r="G8" i="1"/>
  <c r="K119" i="10"/>
  <c r="I119" i="10"/>
  <c r="H119" i="10"/>
  <c r="G119" i="10"/>
  <c r="F119" i="10"/>
  <c r="J119" i="10"/>
  <c r="E106" i="11"/>
  <c r="J84" i="11"/>
  <c r="I84" i="11"/>
  <c r="H84" i="11"/>
  <c r="G84" i="11"/>
  <c r="K84" i="11"/>
  <c r="F83" i="11"/>
  <c r="D84" i="11"/>
  <c r="H84" i="1" l="1"/>
  <c r="J85" i="1" s="1"/>
  <c r="K84" i="1"/>
  <c r="K79" i="1"/>
  <c r="G17" i="1"/>
  <c r="F15" i="1"/>
  <c r="F14" i="1"/>
  <c r="F17" i="1" s="1"/>
  <c r="F18" i="1"/>
  <c r="G84" i="1"/>
  <c r="J14" i="1"/>
  <c r="G184" i="10"/>
  <c r="E185" i="10"/>
  <c r="K184" i="10"/>
  <c r="J184" i="10"/>
  <c r="I184" i="10"/>
  <c r="H184" i="10"/>
  <c r="F184" i="10"/>
  <c r="D34" i="1"/>
  <c r="I33" i="1"/>
  <c r="D36" i="1"/>
  <c r="G4" i="14" s="1"/>
  <c r="J51" i="11"/>
  <c r="H51" i="11"/>
  <c r="G51" i="11"/>
  <c r="F51" i="11"/>
  <c r="K51" i="11"/>
  <c r="I51" i="11"/>
  <c r="D105" i="11"/>
  <c r="D106" i="11"/>
  <c r="J106" i="11"/>
  <c r="I106" i="11"/>
  <c r="H106" i="11"/>
  <c r="G106" i="11"/>
  <c r="F106" i="11"/>
  <c r="K106" i="11"/>
  <c r="J18" i="1"/>
  <c r="J16" i="1"/>
  <c r="J15" i="1"/>
  <c r="F84" i="11"/>
  <c r="I60" i="1"/>
  <c r="D61" i="1"/>
  <c r="D63" i="1"/>
  <c r="D51" i="1"/>
  <c r="G5" i="14" s="1"/>
  <c r="D49" i="1"/>
  <c r="I48" i="1"/>
  <c r="E105" i="11"/>
  <c r="J17" i="1" l="1"/>
  <c r="F61" i="1"/>
  <c r="F34" i="1"/>
  <c r="J105" i="11"/>
  <c r="I105" i="11"/>
  <c r="H105" i="11"/>
  <c r="G105" i="11"/>
  <c r="F105" i="11"/>
  <c r="K105" i="11"/>
  <c r="F49" i="1"/>
  <c r="F35" i="1"/>
  <c r="H185" i="10"/>
  <c r="F185" i="10"/>
  <c r="K185" i="10"/>
  <c r="J185" i="10"/>
  <c r="I185" i="10"/>
  <c r="G185" i="10"/>
  <c r="D64" i="1"/>
  <c r="D65" i="1" s="1"/>
  <c r="F62" i="1"/>
  <c r="F63" i="1" s="1"/>
  <c r="F50" i="1"/>
  <c r="F36" i="1" l="1"/>
  <c r="G6" i="14"/>
  <c r="G7" i="14" s="1"/>
  <c r="F51" i="1"/>
</calcChain>
</file>

<file path=xl/sharedStrings.xml><?xml version="1.0" encoding="utf-8"?>
<sst xmlns="http://schemas.openxmlformats.org/spreadsheetml/2006/main" count="973" uniqueCount="455">
  <si>
    <t>AREA</t>
  </si>
  <si>
    <t>RUBRO</t>
  </si>
  <si>
    <t>RESULTADO MES</t>
  </si>
  <si>
    <t>ACUMULADO</t>
  </si>
  <si>
    <t>N°</t>
  </si>
  <si>
    <t>VALOR</t>
  </si>
  <si>
    <t>%</t>
  </si>
  <si>
    <t>PROMEDIO</t>
  </si>
  <si>
    <t>VENTAS</t>
  </si>
  <si>
    <t>VENTA</t>
  </si>
  <si>
    <t xml:space="preserve"> Ventas Procesables</t>
  </si>
  <si>
    <t xml:space="preserve"> Ventas No Procesables con Rcdo</t>
  </si>
  <si>
    <t xml:space="preserve"> Ventas No Procesables sin Recaudo</t>
  </si>
  <si>
    <t>TOTAL VENTAS DEL MES</t>
  </si>
  <si>
    <t>RECAUDO</t>
  </si>
  <si>
    <t>RECAUDOS</t>
  </si>
  <si>
    <t>% DE VENTAS</t>
  </si>
  <si>
    <t xml:space="preserve"> Plata en Mesa</t>
  </si>
  <si>
    <t xml:space="preserve"> Plata en Mes</t>
  </si>
  <si>
    <t xml:space="preserve"> Recaudo por ventas del mes</t>
  </si>
  <si>
    <t>TOTALES</t>
  </si>
  <si>
    <t>ADJUDICACIONES</t>
  </si>
  <si>
    <t>Ventas</t>
  </si>
  <si>
    <t>Novaciones</t>
  </si>
  <si>
    <t>Canjes</t>
  </si>
  <si>
    <t>TOTAL ADJUDICACIONES</t>
  </si>
  <si>
    <t>Desistidos</t>
  </si>
  <si>
    <t>CARTERA</t>
  </si>
  <si>
    <t>CARTERA COMERCIAL</t>
  </si>
  <si>
    <t>MES ACTUAL</t>
  </si>
  <si>
    <t>CUMPLIMIENTO</t>
  </si>
  <si>
    <t>SIGUIENTE MES</t>
  </si>
  <si>
    <t>Del mes</t>
  </si>
  <si>
    <t>Vencido</t>
  </si>
  <si>
    <t>-30-30</t>
  </si>
  <si>
    <t>30-60</t>
  </si>
  <si>
    <t>Prejuridico</t>
  </si>
  <si>
    <t>TOTAL PRESUPUESTADO</t>
  </si>
  <si>
    <t>RECAUDO PRESUPUESTADO</t>
  </si>
  <si>
    <t>RECAUDO NO PRESUPUESTADO</t>
  </si>
  <si>
    <t>TOTAL RECAUDO COMERCIAL</t>
  </si>
  <si>
    <t>CARTERA ADMINISTRATIVA</t>
  </si>
  <si>
    <t>MES</t>
  </si>
  <si>
    <t>TOTAL RECAUDO Administrativo</t>
  </si>
  <si>
    <t>CARTERA JURIDICA</t>
  </si>
  <si>
    <t>Total Comercial</t>
  </si>
  <si>
    <t>Total Administrativa</t>
  </si>
  <si>
    <t>TOTAL RECAUDO Juridico</t>
  </si>
  <si>
    <t>TOTAL RECAUDO CARTERA</t>
  </si>
  <si>
    <t>TOTAL RECAUDO PROYECTO</t>
  </si>
  <si>
    <t>Ejecutado Mes</t>
  </si>
  <si>
    <t>% Recaudo Ventas</t>
  </si>
  <si>
    <t>Acumulado</t>
  </si>
  <si>
    <t>GASTOS</t>
  </si>
  <si>
    <t>COMERCIAL</t>
  </si>
  <si>
    <t>35. Masa Salarial</t>
  </si>
  <si>
    <t>36. Arriendos</t>
  </si>
  <si>
    <t>37. Impuestos</t>
  </si>
  <si>
    <t>38. Operación</t>
  </si>
  <si>
    <t>39. Activos</t>
  </si>
  <si>
    <t>40. Mantenimientos y Servicios</t>
  </si>
  <si>
    <t>41. Servicios Publicos</t>
  </si>
  <si>
    <t>42. Internet Y Telefonia</t>
  </si>
  <si>
    <t>43. Seguros</t>
  </si>
  <si>
    <t>44. Gastos Financieros</t>
  </si>
  <si>
    <t>45. Viaticos</t>
  </si>
  <si>
    <t>46. Gastos Legales</t>
  </si>
  <si>
    <t>PROYECTOS</t>
  </si>
  <si>
    <t>TIERRA</t>
  </si>
  <si>
    <t>55. Costo Directo</t>
  </si>
  <si>
    <t>56. Rendimientos</t>
  </si>
  <si>
    <t>57. Gastos Legales y de Registro</t>
  </si>
  <si>
    <t>TOTAL TIERRAS</t>
  </si>
  <si>
    <t>TOTAL GASTOS</t>
  </si>
  <si>
    <t>RESULTADO PERIODO</t>
  </si>
  <si>
    <t>Item</t>
  </si>
  <si>
    <t>Cantidad Mes</t>
  </si>
  <si>
    <t>Valor Mes</t>
  </si>
  <si>
    <t>Cantidad Acum</t>
  </si>
  <si>
    <t>Valor Acumulado</t>
  </si>
  <si>
    <t>Fecha</t>
  </si>
  <si>
    <t>Adj</t>
  </si>
  <si>
    <t>Cliente</t>
  </si>
  <si>
    <t>Inmueble</t>
  </si>
  <si>
    <t>Valor</t>
  </si>
  <si>
    <t>Operación</t>
  </si>
  <si>
    <t>FormaPago</t>
  </si>
  <si>
    <t>Nombre</t>
  </si>
  <si>
    <t>Base Comision</t>
  </si>
  <si>
    <t>% Comis Operativa</t>
  </si>
  <si>
    <t>$ Comis Operativa</t>
  </si>
  <si>
    <t>$Comis Corporativa</t>
  </si>
  <si>
    <t>Plata Mesa</t>
  </si>
  <si>
    <t>Plata Mes</t>
  </si>
  <si>
    <t>Adjudicacion</t>
  </si>
  <si>
    <t>Estado</t>
  </si>
  <si>
    <t>Origen</t>
  </si>
  <si>
    <t>TipoCartera</t>
  </si>
  <si>
    <t>Edad</t>
  </si>
  <si>
    <t>pptomes</t>
  </si>
  <si>
    <t>rcdomes</t>
  </si>
  <si>
    <t>pptovencido</t>
  </si>
  <si>
    <t>rcdovencido</t>
  </si>
  <si>
    <t>pptototal</t>
  </si>
  <si>
    <t>rcdopptado</t>
  </si>
  <si>
    <t>rcdonopptado</t>
  </si>
  <si>
    <t>rcdototal</t>
  </si>
  <si>
    <t>Comprobante</t>
  </si>
  <si>
    <t>Cuenta</t>
  </si>
  <si>
    <t>Descripcion Cuenta</t>
  </si>
  <si>
    <t>Tercero</t>
  </si>
  <si>
    <t>Descripcion Gasto</t>
  </si>
  <si>
    <t>Oficina</t>
  </si>
  <si>
    <t>Mes</t>
  </si>
  <si>
    <t>Año</t>
  </si>
  <si>
    <t>Rec.Cuotas Mes Comercial</t>
  </si>
  <si>
    <t>Rec. Ctas Vencidas Comercial</t>
  </si>
  <si>
    <t>Rec. Prejudridico Comercial</t>
  </si>
  <si>
    <t>Rec.Cuotas Mes Admin</t>
  </si>
  <si>
    <t>Rec. Ctas Vencidas Admin</t>
  </si>
  <si>
    <t>Rec. Prejudridico Admin</t>
  </si>
  <si>
    <t>Sandville Beach</t>
  </si>
  <si>
    <t>Sandville del Sol</t>
  </si>
  <si>
    <t>Sandville del Mar</t>
  </si>
  <si>
    <t>Westville</t>
  </si>
  <si>
    <t>MONTERIA</t>
  </si>
  <si>
    <t>SINCELEJO</t>
  </si>
  <si>
    <t>MEDELLIN</t>
  </si>
  <si>
    <t>SANDVILLE</t>
  </si>
  <si>
    <t>WESTVILLE</t>
  </si>
  <si>
    <t>GASTOS DE NOMINA</t>
  </si>
  <si>
    <t xml:space="preserve">14200101   SUELDOS Y SALARIOS                                </t>
  </si>
  <si>
    <t xml:space="preserve">14200107   SUBSIDIO DE TRANSPORTE                            </t>
  </si>
  <si>
    <t xml:space="preserve">14200108   AUXILIO DE TRANSPORTE                             </t>
  </si>
  <si>
    <t xml:space="preserve">14200109   AUXILIO DE RODAMIENTO                             </t>
  </si>
  <si>
    <t xml:space="preserve">14200113   BONIFICACIÓN SALARIAL                             </t>
  </si>
  <si>
    <t xml:space="preserve">14200115   BONIFICACION SPIFF                                </t>
  </si>
  <si>
    <t xml:space="preserve">14200116   BONIFICACIÓN NO SALARIAL                          </t>
  </si>
  <si>
    <t xml:space="preserve">14200143   VACACIONES                                        </t>
  </si>
  <si>
    <t xml:space="preserve">14200147   PRIMA DE SERVICIO                                 </t>
  </si>
  <si>
    <t xml:space="preserve">14200148   CESANTIAS                                         </t>
  </si>
  <si>
    <t xml:space="preserve">14200149   INTERESES DE CESANTIAS                            </t>
  </si>
  <si>
    <t xml:space="preserve">14200156   APORTES SOBRE LA NÓMINA AL ICBF                   </t>
  </si>
  <si>
    <t xml:space="preserve">14200157   APORTES SOBRE LA NÓMINA AL SENA                   </t>
  </si>
  <si>
    <t xml:space="preserve">14200158   APORTES SOBRE LA NÓMINA ARL                       </t>
  </si>
  <si>
    <t xml:space="preserve">14200159   APORTES SOBRE LA NÓMINA SALUD-EPS                 </t>
  </si>
  <si>
    <t xml:space="preserve">14200160   APORTES SOBRE LA NÓMINA PENSIONES Y/O CESANTÍAS   </t>
  </si>
  <si>
    <t>14200161   APORTES SOBRE LA NÓMINA APORTES CAJAS DE COMPENSAC</t>
  </si>
  <si>
    <t xml:space="preserve">14400163   PRESTACIÓN DE SERVICIO (HONORARIOS)                           </t>
  </si>
  <si>
    <t>TOTAL</t>
  </si>
  <si>
    <t>GASTOS OPERACIONALES</t>
  </si>
  <si>
    <t xml:space="preserve">14400106   ARRENDAMIENTOS OFICINAS                           </t>
  </si>
  <si>
    <t xml:space="preserve">14400108   SEGUROS (OFICINAS  ACTIVOS  ETC)                  </t>
  </si>
  <si>
    <t xml:space="preserve">14400109   SERVICIOS SEGURIDAD Y VIGILANCIA                  </t>
  </si>
  <si>
    <t xml:space="preserve">14400110   SERVICIO DE ACUEDUCTO ASEO Y ALCANTARILLADO       </t>
  </si>
  <si>
    <t xml:space="preserve">14400111   SERVICIO ENERGIA ELECTRICA                        </t>
  </si>
  <si>
    <t xml:space="preserve">14400112   SERVICIO DE TELEFONIA CELULARES                   </t>
  </si>
  <si>
    <t xml:space="preserve">14400113   SERVICIO DE INTERNET TELEFONO Y TELEVISION        </t>
  </si>
  <si>
    <t xml:space="preserve">14400114   SERVICIO DE TRANSPORTE                            </t>
  </si>
  <si>
    <t xml:space="preserve">14400115   SERVICIO DE GAS                                   </t>
  </si>
  <si>
    <t xml:space="preserve">14400116   GASTOS LEGALES MATRICULA MERCANTIL                </t>
  </si>
  <si>
    <t xml:space="preserve">14400117   GASTOS LEGALES GASTOS NOTARIALES                  </t>
  </si>
  <si>
    <t xml:space="preserve">14400118   GASTOS LEGALES TRAMITES Y PERMISOS                </t>
  </si>
  <si>
    <t xml:space="preserve">14400119   GASTOS PROCESOS LEGALES EN CONTRA                 </t>
  </si>
  <si>
    <t xml:space="preserve">14400120   MANTENIMIENTO Y REPARACIONES                      </t>
  </si>
  <si>
    <t xml:space="preserve">14400122   MANTENIMIENTO DE REDES Y EQUIPO DE COMPUTO        </t>
  </si>
  <si>
    <t>14400123   MANTENIMIENTO Y REPARACIONES ACTIVOS DE MENOR CUAN</t>
  </si>
  <si>
    <t>14400124   GASTOS DE CONDOMINIO ( SOSTENIMIENTO DEL PROYECTO)</t>
  </si>
  <si>
    <t xml:space="preserve">14400125   ADECUACIÓN E INSTALACIÓN DE OFICINAS              </t>
  </si>
  <si>
    <t xml:space="preserve">14400126   GASTOS DE VIAJE (VIATICOS)                        </t>
  </si>
  <si>
    <t xml:space="preserve">14400127   GASTOS DE VIAJE (TIQUETES)                        </t>
  </si>
  <si>
    <t xml:space="preserve">14400128   HOSPEDAJE HOTEL                                   </t>
  </si>
  <si>
    <t xml:space="preserve">14400131   DIVERSOS ASEO Y CAFETERIA                         </t>
  </si>
  <si>
    <t xml:space="preserve">14400132   DIVERSOS MENSAJERIA-TRANSPORTE                    </t>
  </si>
  <si>
    <t xml:space="preserve">14400133   DIVERSOS UTILES DE OFICINA                        </t>
  </si>
  <si>
    <t xml:space="preserve">14400134   DIVERSOS FIESTAS EMPRESARIALES                    </t>
  </si>
  <si>
    <t xml:space="preserve">14400136   IMPUESTOS INDUSTRIA Y COMERCIO                    </t>
  </si>
  <si>
    <t xml:space="preserve">14400137   IMPUESTOS DE RENTA                                </t>
  </si>
  <si>
    <t xml:space="preserve">14400138   IMPUESTOS A LA PROPIEDAD RAÍZ                     </t>
  </si>
  <si>
    <t xml:space="preserve">14400142   IMPUESTOS IVA DESCONTABLE                         </t>
  </si>
  <si>
    <t xml:space="preserve">14400143   OTROS IMPUESTOS                                   </t>
  </si>
  <si>
    <t xml:space="preserve">14400144   GASTOS BANCARIOS COMISIONES                       </t>
  </si>
  <si>
    <t xml:space="preserve">14400145   GASTOS BANCARIOS INTERESES                        </t>
  </si>
  <si>
    <t xml:space="preserve">14400146   GASTOS BANCARIOS GMF                              </t>
  </si>
  <si>
    <t xml:space="preserve">14400147   IVA DESCONTABLE MAYOR VALOR AL COSTO O GASTO      </t>
  </si>
  <si>
    <t xml:space="preserve">14400148   AJUSTE AL PESO                                    </t>
  </si>
  <si>
    <t xml:space="preserve">14400149   EXAMENES MEDICOS DE INGRESO                       </t>
  </si>
  <si>
    <t xml:space="preserve">14400152   GASTOS MEDICOS Y DROGAS                           </t>
  </si>
  <si>
    <t xml:space="preserve">14400153   CASINO Y RESTAURANTE                              </t>
  </si>
  <si>
    <t xml:space="preserve">14400155   GASTOS DIVERSOS                                   </t>
  </si>
  <si>
    <t xml:space="preserve">14400160   GASTOS LICENCIA GOOGLE                            </t>
  </si>
  <si>
    <t xml:space="preserve">14400162   AJUSTE AL PESO                                    </t>
  </si>
  <si>
    <t xml:space="preserve">14400163   PRESTACIÓN DE SERVICIO                            </t>
  </si>
  <si>
    <t xml:space="preserve">14400164   IMPUESTOS ASUMIDOS                                </t>
  </si>
  <si>
    <t xml:space="preserve">14400165   INTERESES MORATORIOS                              </t>
  </si>
  <si>
    <t xml:space="preserve">14400166   MULTAS  SANCIONES Y LITIGIOS                      </t>
  </si>
  <si>
    <t xml:space="preserve">14400167   COSTOS Y GASTOS DE EJERCICIOS ANTERIORES          </t>
  </si>
  <si>
    <t xml:space="preserve">14400168   DOTACIÓN Y SUMINISTRO A TRABAJADORES              </t>
  </si>
  <si>
    <t xml:space="preserve">14400171   GASTO ASOCIACION FENALCO                          </t>
  </si>
  <si>
    <t xml:space="preserve">14400172   REFRIGERIOS ADMINISTRATIVOS                       </t>
  </si>
  <si>
    <t xml:space="preserve">14400174   ARRENDAMIENTO EQUIPOS ELECTRONICOS                </t>
  </si>
  <si>
    <t xml:space="preserve">14400173   INTERESES PRESTAMOS A TERCEROS                    </t>
  </si>
  <si>
    <t>TOTAL GASTO ADMINISTRATIVO</t>
  </si>
  <si>
    <t xml:space="preserve">52050600   SUELDOS                                           </t>
  </si>
  <si>
    <t xml:space="preserve">52051500   HORAS EXTRAS Y RECARGOS                           </t>
  </si>
  <si>
    <t xml:space="preserve">52052700   AUXILIO DE TRANSPORTE                             </t>
  </si>
  <si>
    <t xml:space="preserve">52053000   CESANTIAS                                         </t>
  </si>
  <si>
    <t xml:space="preserve">52053300   INTERESES SOBRE CESANTIAS                         </t>
  </si>
  <si>
    <t xml:space="preserve">52053600   PRIMA DE SERVICIOS                                </t>
  </si>
  <si>
    <t xml:space="preserve">52053900   VACACIONES                                        </t>
  </si>
  <si>
    <t xml:space="preserve">52054501   AUXILIO DE VIVIENDA                               </t>
  </si>
  <si>
    <t xml:space="preserve">52054502   AUXILIO DE ALIMENTACION                           </t>
  </si>
  <si>
    <t xml:space="preserve">52054801   BONIFICACIONES NO SALARIALES                      </t>
  </si>
  <si>
    <t xml:space="preserve">52056000   INDEMNIZACIONES LABORALES                         </t>
  </si>
  <si>
    <t xml:space="preserve">52056800   APORTES A ADMINISTRADORAS DE RIESGOS PRO          </t>
  </si>
  <si>
    <t xml:space="preserve">52056900   APORTES A ENTIDADES PROMOTORAS DE SALUD           </t>
  </si>
  <si>
    <t xml:space="preserve">52057000   APORTES A FONDOS DE PENSION Y/O CESANTIA          </t>
  </si>
  <si>
    <t xml:space="preserve">52057200   APORTES CAJAS DE COMPENSACION FAMILIAR            </t>
  </si>
  <si>
    <t xml:space="preserve">52057500   APORTES I C B F                                   </t>
  </si>
  <si>
    <t xml:space="preserve">52057800   SENA                                              </t>
  </si>
  <si>
    <t xml:space="preserve">52058400   GASTOS MEDICOS Y DROGAS                           </t>
  </si>
  <si>
    <t xml:space="preserve">52157000   IVA DESCONTABLE                                   </t>
  </si>
  <si>
    <t xml:space="preserve">53050501   GMF                                               </t>
  </si>
  <si>
    <t xml:space="preserve">53051501   COMISIONES  BANCARIAS                             </t>
  </si>
  <si>
    <t xml:space="preserve">53054000   GASTOS MANEJO Y EMISION DE BONOS                  </t>
  </si>
  <si>
    <t xml:space="preserve">14400202   G.T.T. ASESORES                                   </t>
  </si>
  <si>
    <t xml:space="preserve">14400203   G.T.T. PROMOTORES                                 </t>
  </si>
  <si>
    <t xml:space="preserve">14400204   EVENTOS COMERCIALES                               </t>
  </si>
  <si>
    <t xml:space="preserve">14400205   ALIMENTOS                                         </t>
  </si>
  <si>
    <t xml:space="preserve">14400207   TELEFONIA CELULAR                                 </t>
  </si>
  <si>
    <t xml:space="preserve">14400208   PUBLICIDAD                                        </t>
  </si>
  <si>
    <t xml:space="preserve">14400209   CAPACITACION ASESORES COMERCIALES                 </t>
  </si>
  <si>
    <t xml:space="preserve">14400210   ALIMENTACION PERSONAL EN EVENTO                   </t>
  </si>
  <si>
    <t xml:space="preserve">14400211   MANTENIMIENTOS ELEMENTOS COMERCIALES              </t>
  </si>
  <si>
    <t xml:space="preserve">14400212   OTROS GASTOS COMERCIALES                          </t>
  </si>
  <si>
    <t xml:space="preserve">14400213   TRANSPORTES A EVENTOS                             </t>
  </si>
  <si>
    <t xml:space="preserve">14400214   BONIFICACION SPIFF                                </t>
  </si>
  <si>
    <t xml:space="preserve">14400215   PLATA EN MESA                                     </t>
  </si>
  <si>
    <t xml:space="preserve">14400216   QS POR AGENTE COMERCIAL                           </t>
  </si>
  <si>
    <t xml:space="preserve">14400217   QS POR JEFE DE PROMOCIÓN                          </t>
  </si>
  <si>
    <t xml:space="preserve">14400218   BONIFICACIÓN E INCENTIVOS COMERCIALES             </t>
  </si>
  <si>
    <t xml:space="preserve">14400219   HOSSTES                                           </t>
  </si>
  <si>
    <t xml:space="preserve">14400220   GASTOS ELEMENTOS DE ASEO Y CAFETERÍA              </t>
  </si>
  <si>
    <t xml:space="preserve">14400221   GASTOS POR ÚTILES Y PAPELERÍA                     </t>
  </si>
  <si>
    <t xml:space="preserve">14400222   PAPELERIA PARA PROMOCION/VENTAS                   </t>
  </si>
  <si>
    <t xml:space="preserve">14400223   GASTOS DE VIAJE (VIATICOS)                        </t>
  </si>
  <si>
    <t xml:space="preserve">14400224   GASTOS DE VIAJE (TIQUETES)                        </t>
  </si>
  <si>
    <t xml:space="preserve">14400225   GASTOS DE VIAJE (ALOJAMIENTO)                     </t>
  </si>
  <si>
    <t xml:space="preserve">14400226   ANTICIPOS DE COMISION                             </t>
  </si>
  <si>
    <t xml:space="preserve">14400229   SERVICIO DE MESERO                                </t>
  </si>
  <si>
    <t xml:space="preserve">14400230   PARKING                                           </t>
  </si>
  <si>
    <t xml:space="preserve">14400231   PIEZAS DE PUBLICIDAD PROMOCION/VENTAS             </t>
  </si>
  <si>
    <t xml:space="preserve">14400232   DIAS DE DESCANSO TLMK                             </t>
  </si>
  <si>
    <t xml:space="preserve">14400233   BONIFICACIÓN TLMK                                 </t>
  </si>
  <si>
    <t xml:space="preserve">14400237   DOTACIÓN Y SUMINISTRO A TRABAJADORES              </t>
  </si>
  <si>
    <t xml:space="preserve">14400238   PRESTACION DE SERVICIOS                           </t>
  </si>
  <si>
    <t xml:space="preserve">14400239   POLIZAS AGENTES COMERCIALES                       </t>
  </si>
  <si>
    <t xml:space="preserve">14400241   IMPUESTOS ASUMIDOS                                </t>
  </si>
  <si>
    <t xml:space="preserve">14400242   DIVERSOS FIESTAS EMPRESARIALES                    </t>
  </si>
  <si>
    <t xml:space="preserve">14400243   IMPUESTOS ASUMIDOS                                </t>
  </si>
  <si>
    <t xml:space="preserve">14400244   IVA DESCONTABLE MAYOR VALOR AL COSTO O GASTO      </t>
  </si>
  <si>
    <t xml:space="preserve">14400245   IMPUESTO AL CONSUMO                               </t>
  </si>
  <si>
    <t xml:space="preserve">14400247   COMISIONES POR CAMBIO DE TITULOS VALORES          </t>
  </si>
  <si>
    <t xml:space="preserve">14400248   ARRENDAMIENTOS DE BIENES INMUEBLES                </t>
  </si>
  <si>
    <t>TOTAL GASTO COMERCIAL</t>
  </si>
  <si>
    <t xml:space="preserve">51050600   SUELDOS                                           </t>
  </si>
  <si>
    <t xml:space="preserve">51052100   VIATICOS                                          </t>
  </si>
  <si>
    <t xml:space="preserve">51052400   INCAPACIDADES                                     </t>
  </si>
  <si>
    <t xml:space="preserve">51052500   LICENCIA NO REMUNERADAS                           </t>
  </si>
  <si>
    <t xml:space="preserve">51052700   AUXILIO DE TRANSPORTE                             </t>
  </si>
  <si>
    <t xml:space="preserve">51053000   CESANTIAS                                         </t>
  </si>
  <si>
    <t xml:space="preserve">51053300   INTERESES SOBRE CESANTIAS                         </t>
  </si>
  <si>
    <t xml:space="preserve">51053600   PRIMA DE SERVICIOS                                </t>
  </si>
  <si>
    <t xml:space="preserve">51053900   VACACIONES                                        </t>
  </si>
  <si>
    <t xml:space="preserve">51056800   APORTES ADMINISTRADORAS DE RIESGOS PROFE          </t>
  </si>
  <si>
    <t xml:space="preserve">51056900   APORTES A ENTIDADES PROMOTORAS DE SALUD           </t>
  </si>
  <si>
    <t xml:space="preserve">51057000   APORTES A FONDOS DE PENSION Y/O CESANTIA          </t>
  </si>
  <si>
    <t xml:space="preserve">51057200   APORTES CAJAS DE COMPESACION FAMILIAR             </t>
  </si>
  <si>
    <t xml:space="preserve">51057500   APORTE I C B F                                    </t>
  </si>
  <si>
    <t xml:space="preserve">51057800   SENA                                              </t>
  </si>
  <si>
    <t xml:space="preserve">51150500   INDUSTRIA Y COMERCIO                              </t>
  </si>
  <si>
    <t xml:space="preserve">51157001   IVA DESCONTABLE                                   </t>
  </si>
  <si>
    <t xml:space="preserve">51355000   TRANSPORTE  FLETES Y ACARREOS                     </t>
  </si>
  <si>
    <t xml:space="preserve">51451000   CONSTRUCCIONES Y EDIFICACIONES                    </t>
  </si>
  <si>
    <t xml:space="preserve">51451500   MAQUINARIA Y EQUIPO                               </t>
  </si>
  <si>
    <t xml:space="preserve">51501000   ARREGLOS ORNAMENTALES                             </t>
  </si>
  <si>
    <t xml:space="preserve">51501500   REPARACIONES LOCATIVAS                            </t>
  </si>
  <si>
    <t xml:space="preserve">51550500   ALOJAMIENTO Y MANUTENCION                         </t>
  </si>
  <si>
    <t xml:space="preserve">52052400   INCAPACIDADES                                     </t>
  </si>
  <si>
    <t xml:space="preserve">52359505   PRESTACION DE SERVICIOS                           </t>
  </si>
  <si>
    <t xml:space="preserve">53052000   INTERESES                                         </t>
  </si>
  <si>
    <t xml:space="preserve">53152000   IMPUESTOS ASUMIDOS                                </t>
  </si>
  <si>
    <t xml:space="preserve">53959501   AJUSTE AL PESO                                    </t>
  </si>
  <si>
    <t xml:space="preserve">52051800   COMISIONES POR VENTAS                             </t>
  </si>
  <si>
    <t xml:space="preserve">14400227   COMISIONES COMERCIALES POR VENTAS                 </t>
  </si>
  <si>
    <t>TOTAL COMISIONES</t>
  </si>
  <si>
    <t>COMISIONES DEL MES</t>
  </si>
  <si>
    <t>COMSIONES SANDVILLE BEACH</t>
  </si>
  <si>
    <t>COMSIONES MES SANDVILLE DEL SOL</t>
  </si>
  <si>
    <t>COMSIONES MES SANDVILLE DEL MAR</t>
  </si>
  <si>
    <t xml:space="preserve">14150501   COMPRA DEL LOTE                                   </t>
  </si>
  <si>
    <t>SANDVILLE BEACH</t>
  </si>
  <si>
    <t>SANDVILLE DEL MAR</t>
  </si>
  <si>
    <t>SANDVILLE DEL SOL</t>
  </si>
  <si>
    <t>INFORME GENERAL DE GASTOS SANDVILLE
SEPTIEMBRE 2018</t>
  </si>
  <si>
    <t>VENTAS DEL MES</t>
  </si>
  <si>
    <t>a. VENTAS PROCESABLES</t>
  </si>
  <si>
    <t>b. VENTAS NO PROCESABLES</t>
  </si>
  <si>
    <t>VENTAS RADICADAS</t>
  </si>
  <si>
    <t>VENTAS NO REGISTRABLES</t>
  </si>
  <si>
    <t>RECAUDO POR VENTAS</t>
  </si>
  <si>
    <t>PLATA EN MESA</t>
  </si>
  <si>
    <t>PLATA EN MES</t>
  </si>
  <si>
    <t>TOTAL RECAUDO VENTAS DEL MES</t>
  </si>
  <si>
    <t>TOTAL INGRESO DEL MES</t>
  </si>
  <si>
    <t>CUENTA</t>
  </si>
  <si>
    <t>Mes Anterior</t>
  </si>
  <si>
    <t>Mes Actual</t>
  </si>
  <si>
    <t>Variacion</t>
  </si>
  <si>
    <t>%Ventas Brutas</t>
  </si>
  <si>
    <t>% Ventas Procesables</t>
  </si>
  <si>
    <t>%Recaudo Ventas Mes</t>
  </si>
  <si>
    <t>%Recaudo Cartera</t>
  </si>
  <si>
    <t>%Recaudo Total Mes</t>
  </si>
  <si>
    <t>NOMINA COMERCIAL</t>
  </si>
  <si>
    <t>TOTAL NOMINA COMERCIAL</t>
  </si>
  <si>
    <t>OPERACIÓN COMERCIAL</t>
  </si>
  <si>
    <t>TOTAL OPERACION COMERCIAL</t>
  </si>
  <si>
    <t>TOTAL OPERACIÓN COMERCIAL ANTES DE COMISIONES</t>
  </si>
  <si>
    <t>COMIS</t>
  </si>
  <si>
    <t xml:space="preserve">14400227   COMISIONES COMERCIALES POR VENTAS DEL MES                </t>
  </si>
  <si>
    <t xml:space="preserve">14400227   COMISIONES COMERCIALES POR VENTAS DE OTROS MESES                 </t>
  </si>
  <si>
    <t>TOTAL COMISIONES POR VENTAS</t>
  </si>
  <si>
    <t>ADMINISRTRACION</t>
  </si>
  <si>
    <t>NOMINA ADMINISTRACION</t>
  </si>
  <si>
    <t>TOTAL NOMINA ADMINISTRACION</t>
  </si>
  <si>
    <t>OPERACIÓN ADMINISTRACION</t>
  </si>
  <si>
    <t xml:space="preserve">14400170   CAPACITACION ADMINISTRACION                       </t>
  </si>
  <si>
    <t xml:space="preserve">14400179   SERVICIO DE PARQUEADERO                           </t>
  </si>
  <si>
    <t>TOTAL GASTO ADMINISTRACION</t>
  </si>
  <si>
    <t>TOTAL OPERACIÓN ADMINISTRACION</t>
  </si>
  <si>
    <t>NOMINA CARTERA</t>
  </si>
  <si>
    <t>14200301   SUELDOS Y SALARIOS</t>
  </si>
  <si>
    <t>14200307   SUBSIDIO DE TRANSPORTE</t>
  </si>
  <si>
    <t>14200343   VACACIONES</t>
  </si>
  <si>
    <t>14200347   PRIMA DE SERVICIO</t>
  </si>
  <si>
    <t>14200348   CESANTIAS</t>
  </si>
  <si>
    <t>14200349   INTERESES DE CESANTIAS</t>
  </si>
  <si>
    <t>14200356   APORTES SOBRE LA NÓMINA AL ICBF</t>
  </si>
  <si>
    <t>14200357   APORTES SOBRE LA NÓMINA AL SENA</t>
  </si>
  <si>
    <t>14200358   APORTES SOBRE LA NÓMINA ARL</t>
  </si>
  <si>
    <t>14200359   APORTES SOBRE LA NÓMINA SALUD-EPS</t>
  </si>
  <si>
    <t>14200360   APORTES SOBRE LA NÓMINA PENSIONES Y/O CESANTÍAS</t>
  </si>
  <si>
    <t>14200361   APORTES SOBRE LA NÓMINA APORTES CAJAS DE COMPENSAC</t>
  </si>
  <si>
    <t>TOTAL NOMINA CARTERA</t>
  </si>
  <si>
    <t>OPERAC</t>
  </si>
  <si>
    <t xml:space="preserve">14400402   CASH OUT                         </t>
  </si>
  <si>
    <t>14400403   BONIFICACIONES</t>
  </si>
  <si>
    <t>TOTAL OPERACION CARTERA</t>
  </si>
  <si>
    <t>TOTAL OPERACIÓN CARTERA</t>
  </si>
  <si>
    <t>NOMINA</t>
  </si>
  <si>
    <t xml:space="preserve">51055100   DOTACION Y SUMINISTRO A TRABAJADORES              </t>
  </si>
  <si>
    <t>TOTAL NOMINA PROYECTOS</t>
  </si>
  <si>
    <t>OPERACIÓN</t>
  </si>
  <si>
    <t xml:space="preserve">51551500   PASAJES AEREOS                                    </t>
  </si>
  <si>
    <t xml:space="preserve">51953000   UTILES  PAPELERIA Y FOTOCOPIAS                    </t>
  </si>
  <si>
    <t xml:space="preserve">51953500   COMBUSTIBLES Y LUBRICANTES                        </t>
  </si>
  <si>
    <t xml:space="preserve">51954500   TAXIS Y BUSES                                     </t>
  </si>
  <si>
    <t xml:space="preserve">51956000   CASINO Y RESTAURANTE                              </t>
  </si>
  <si>
    <t xml:space="preserve">53050500   GASTOS BANCARIOS                                  </t>
  </si>
  <si>
    <t>TOTAL OPERACION PROYECTOS</t>
  </si>
  <si>
    <t>TOTAL OPERACIÓN PROYECTOS</t>
  </si>
  <si>
    <t>OBRAS</t>
  </si>
  <si>
    <t xml:space="preserve">15080503   SNACK BAR                                         </t>
  </si>
  <si>
    <t>N/D</t>
  </si>
  <si>
    <t>TOTAL OBRA BEACH CLUB</t>
  </si>
  <si>
    <t xml:space="preserve">14200504   DISEÑO URBANO                                     </t>
  </si>
  <si>
    <t xml:space="preserve">14200515   CERRAMIENTO PROVISIONAL                           </t>
  </si>
  <si>
    <t xml:space="preserve">14200517   CAMPAMENTO                                        </t>
  </si>
  <si>
    <t xml:space="preserve">14200518   SALA DE VENTAS                                    </t>
  </si>
  <si>
    <t xml:space="preserve">14200528   REDES ELÉCTRICAS                                  </t>
  </si>
  <si>
    <t xml:space="preserve">14200538   GARITA POSTERIOR                                  </t>
  </si>
  <si>
    <t xml:space="preserve">14200568   PARQUEADERO                                       </t>
  </si>
  <si>
    <t>ELEMENTOS DE SEGURIDAD</t>
  </si>
  <si>
    <t>TOTAL OBRA CONDOMINIO</t>
  </si>
  <si>
    <t xml:space="preserve">13301000   A CONTRATISTAS                                    </t>
  </si>
  <si>
    <t>TOTAL ANTICIPO A CONTRATISTAS OBRA</t>
  </si>
  <si>
    <t xml:space="preserve">23359501   TERRENOS POR PAGAR                                </t>
  </si>
  <si>
    <t>TOTAL PAGO DE TERRENOS</t>
  </si>
  <si>
    <t>TOTAL OBRAS</t>
  </si>
  <si>
    <t>TOTAL OPERACIÓN PROYECTO ANTES DE COMISIONES</t>
  </si>
  <si>
    <t>TOTAL OPERACIÓN PROYECTO DESPUES DE COMISIONES</t>
  </si>
  <si>
    <t>INFORME GENERAL DE GASTOS WESTVILLE
SEPTIEMBRE 2018</t>
  </si>
  <si>
    <t xml:space="preserve"> </t>
  </si>
  <si>
    <t xml:space="preserve">14400172   REFRIGERIOS ADMINSTRATIVOS                        </t>
  </si>
  <si>
    <t>Expr1</t>
  </si>
  <si>
    <t>Expr2</t>
  </si>
  <si>
    <t>SumaDeSumaDeVALOR</t>
  </si>
  <si>
    <t>G1</t>
  </si>
  <si>
    <t>EMPRESA</t>
  </si>
  <si>
    <t>G2</t>
  </si>
  <si>
    <t>GASTO OPERACIONAL COMERCIAL</t>
  </si>
  <si>
    <t>PROMOTORA SANDVILLE</t>
  </si>
  <si>
    <t>PROMOTORA WESTVILLE</t>
  </si>
  <si>
    <t>G3</t>
  </si>
  <si>
    <t>COMISIONES COMERCIAL</t>
  </si>
  <si>
    <t>G4</t>
  </si>
  <si>
    <t>G5</t>
  </si>
  <si>
    <t>GASTO OPERACIONAL ADMINISTRACION</t>
  </si>
  <si>
    <t>STATUS COMERCIALIZADORA</t>
  </si>
  <si>
    <t>G6</t>
  </si>
  <si>
    <t>G7</t>
  </si>
  <si>
    <t>GASTO OPERACIONAL CARTERA</t>
  </si>
  <si>
    <t>G8</t>
  </si>
  <si>
    <t>NOMINA PROYECTOS</t>
  </si>
  <si>
    <t>QUADRATA CONSTRUCTORES</t>
  </si>
  <si>
    <t>G9</t>
  </si>
  <si>
    <t>GASTO OPERACIONAL PROYECTOS</t>
  </si>
  <si>
    <t>PROYECTO</t>
  </si>
  <si>
    <t>G10</t>
  </si>
  <si>
    <t>GASTO OBRA CLUB</t>
  </si>
  <si>
    <t>G11</t>
  </si>
  <si>
    <t>GASTO OBRA CONDOMINIO</t>
  </si>
  <si>
    <t>G12</t>
  </si>
  <si>
    <t>ANTICIPOS OBRA</t>
  </si>
  <si>
    <t>RANCHO MONTANA</t>
  </si>
  <si>
    <t>G13</t>
  </si>
  <si>
    <t>WESTIVILLE</t>
  </si>
  <si>
    <t>ASINGACION DE % POR CC</t>
  </si>
  <si>
    <t>MIRADOR DE WESTVILLE</t>
  </si>
  <si>
    <t>SALARIOS COMERCIALES</t>
  </si>
  <si>
    <t>OFICINA</t>
  </si>
  <si>
    <t>STATUS</t>
  </si>
  <si>
    <t>GASTO OPERACIÓN COMERCIAL</t>
  </si>
  <si>
    <t>GASTO ADMINISTRATIVO</t>
  </si>
  <si>
    <t>GASTO ADMIN PROYECTOS</t>
  </si>
  <si>
    <t>SALARIOS CARTERA</t>
  </si>
  <si>
    <t>% Ventas Total</t>
  </si>
  <si>
    <t>Tesoro Escondido</t>
  </si>
  <si>
    <t>% Recaudo Comercial</t>
  </si>
  <si>
    <t>Vegas de Venecia</t>
  </si>
  <si>
    <t>% Recaudo Administrativo</t>
  </si>
  <si>
    <t>% Recaudo Cartera</t>
  </si>
  <si>
    <t>% Recaudo Total</t>
  </si>
  <si>
    <t>% Presupuestado</t>
  </si>
  <si>
    <t>90+ (Juridico)</t>
  </si>
  <si>
    <t>PLANTILLA INFORME MES</t>
  </si>
  <si>
    <t>TOTAL RECAUDO COMERCIAL ACUMULADO</t>
  </si>
  <si>
    <t>TOTAL RECAUDO ADMIN ACUMULADO</t>
  </si>
  <si>
    <t>TOTAL RECAUDO JURIDICO ACUMULADO</t>
  </si>
  <si>
    <t>TOTAL RECAUDO CARTERA ACUMULADO</t>
  </si>
  <si>
    <t>periodo</t>
  </si>
  <si>
    <t>RESULTADO ACUMULADO</t>
  </si>
  <si>
    <t>Empresa</t>
  </si>
  <si>
    <t>TOTAL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</si>
</sst>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0.0%"/>
    <numFmt numFmtId="167" formatCode="_-&quot;$&quot;\ * #,##0_-;\-&quot;$&quot;\ * #,##0_-;_-&quot;$&quot;\ * &quot;-&quot;??_-;_-@_-"/>
    <numFmt numFmtId="168" formatCode="yyyy\-mm\-dd"/>
    <numFmt numFmtId="169" formatCode="&quot;$&quot;\ #,##0;\-&quot;$&quot;\ #,##0"/>
    <numFmt numFmtId="170" formatCode="&quot;$&quot;\ #,##0"/>
    <numFmt numFmtId="171" formatCode="&quot;$&quot;#,##0.00"/>
    <numFmt numFmtId="172" formatCode="&quot;$&quot;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.25"/>
      <color rgb="FF201F35"/>
      <name val="Tahoma"/>
      <family val="2"/>
    </font>
    <font>
      <b/>
      <sz val="18"/>
      <color theme="1"/>
      <name val="Ubuntu Light"/>
      <family val="2"/>
    </font>
    <font>
      <b/>
      <sz val="16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2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i/>
      <sz val="16"/>
      <color theme="1" tint="4.9989318521683403E-2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C0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9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1" fontId="1" fillId="0" borderId="0"/>
    <xf numFmtId="42" fontId="1" fillId="0" borderId="0"/>
    <xf numFmtId="43" fontId="1" fillId="0" borderId="0"/>
    <xf numFmtId="165" fontId="1" fillId="0" borderId="0"/>
  </cellStyleXfs>
  <cellXfs count="283">
    <xf numFmtId="0" fontId="0" fillId="0" borderId="0" xfId="0"/>
    <xf numFmtId="49" fontId="0" fillId="0" borderId="0" xfId="0" applyNumberFormat="1"/>
    <xf numFmtId="0" fontId="2" fillId="0" borderId="8" xfId="0" applyFont="1" applyBorder="1" applyAlignment="1">
      <alignment horizontal="center" vertical="center" wrapText="1"/>
    </xf>
    <xf numFmtId="0" fontId="0" fillId="0" borderId="8" xfId="0" applyBorder="1"/>
    <xf numFmtId="0" fontId="6" fillId="0" borderId="8" xfId="0" applyFont="1" applyBorder="1" applyAlignment="1">
      <alignment vertical="center"/>
    </xf>
    <xf numFmtId="9" fontId="0" fillId="0" borderId="8" xfId="2" applyFon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2" fillId="0" borderId="8" xfId="0" applyNumberFormat="1" applyFont="1" applyBorder="1" applyAlignment="1">
      <alignment horizontal="center" vertical="center" wrapText="1"/>
    </xf>
    <xf numFmtId="0" fontId="9" fillId="4" borderId="18" xfId="3" applyFont="1" applyFill="1" applyBorder="1" applyAlignment="1">
      <alignment horizontal="center"/>
    </xf>
    <xf numFmtId="0" fontId="9" fillId="0" borderId="19" xfId="3" applyFont="1" applyBorder="1" applyAlignment="1">
      <alignment wrapText="1"/>
    </xf>
    <xf numFmtId="0" fontId="9" fillId="4" borderId="20" xfId="3" applyFont="1" applyFill="1" applyBorder="1" applyAlignment="1">
      <alignment horizontal="center"/>
    </xf>
    <xf numFmtId="0" fontId="9" fillId="0" borderId="21" xfId="3" applyFont="1" applyBorder="1" applyAlignment="1">
      <alignment wrapText="1"/>
    </xf>
    <xf numFmtId="0" fontId="9" fillId="0" borderId="0" xfId="3" applyFont="1" applyAlignment="1">
      <alignment wrapText="1"/>
    </xf>
    <xf numFmtId="0" fontId="9" fillId="0" borderId="8" xfId="4" applyFont="1" applyBorder="1" applyAlignment="1">
      <alignment wrapText="1"/>
    </xf>
    <xf numFmtId="0" fontId="11" fillId="0" borderId="19" xfId="5" applyFont="1" applyBorder="1" applyAlignment="1">
      <alignment wrapText="1"/>
    </xf>
    <xf numFmtId="0" fontId="11" fillId="0" borderId="8" xfId="4" applyFont="1" applyBorder="1" applyAlignment="1">
      <alignment wrapText="1"/>
    </xf>
    <xf numFmtId="9" fontId="0" fillId="0" borderId="15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11" fillId="0" borderId="8" xfId="5" applyFont="1" applyBorder="1" applyAlignment="1">
      <alignment wrapText="1"/>
    </xf>
    <xf numFmtId="0" fontId="10" fillId="3" borderId="8" xfId="4" applyFont="1" applyFill="1" applyBorder="1" applyAlignment="1">
      <alignment wrapText="1"/>
    </xf>
    <xf numFmtId="0" fontId="0" fillId="0" borderId="8" xfId="0" applyBorder="1" applyAlignment="1">
      <alignment horizontal="left" indent="1"/>
    </xf>
    <xf numFmtId="0" fontId="0" fillId="0" borderId="8" xfId="0" applyBorder="1" applyAlignment="1">
      <alignment vertical="center"/>
    </xf>
    <xf numFmtId="49" fontId="0" fillId="0" borderId="8" xfId="0" applyNumberFormat="1" applyBorder="1"/>
    <xf numFmtId="0" fontId="10" fillId="3" borderId="8" xfId="5" applyFont="1" applyFill="1" applyBorder="1" applyAlignment="1">
      <alignment wrapText="1"/>
    </xf>
    <xf numFmtId="0" fontId="11" fillId="0" borderId="8" xfId="6" applyFont="1" applyBorder="1" applyAlignment="1">
      <alignment wrapText="1"/>
    </xf>
    <xf numFmtId="0" fontId="2" fillId="0" borderId="0" xfId="0" applyFont="1"/>
    <xf numFmtId="0" fontId="10" fillId="3" borderId="8" xfId="6" applyFont="1" applyFill="1" applyBorder="1" applyAlignment="1">
      <alignment wrapText="1"/>
    </xf>
    <xf numFmtId="0" fontId="2" fillId="0" borderId="11" xfId="0" applyFont="1" applyBorder="1"/>
    <xf numFmtId="0" fontId="11" fillId="0" borderId="19" xfId="7" applyFont="1" applyBorder="1" applyAlignment="1">
      <alignment wrapText="1"/>
    </xf>
    <xf numFmtId="0" fontId="11" fillId="0" borderId="8" xfId="7" applyFont="1" applyBorder="1" applyAlignment="1">
      <alignment wrapText="1"/>
    </xf>
    <xf numFmtId="10" fontId="9" fillId="0" borderId="8" xfId="2" applyNumberFormat="1" applyFont="1" applyBorder="1" applyAlignment="1">
      <alignment wrapText="1"/>
    </xf>
    <xf numFmtId="10" fontId="10" fillId="3" borderId="8" xfId="2" applyNumberFormat="1" applyFont="1" applyFill="1" applyBorder="1" applyAlignment="1">
      <alignment wrapText="1"/>
    </xf>
    <xf numFmtId="0" fontId="8" fillId="3" borderId="8" xfId="0" applyFont="1" applyFill="1" applyBorder="1" applyAlignment="1">
      <alignment horizontal="center" vertical="center" textRotation="90"/>
    </xf>
    <xf numFmtId="10" fontId="13" fillId="3" borderId="8" xfId="2" applyNumberFormat="1" applyFont="1" applyFill="1" applyBorder="1" applyAlignment="1">
      <alignment wrapText="1"/>
    </xf>
    <xf numFmtId="0" fontId="10" fillId="3" borderId="8" xfId="6" applyFont="1" applyFill="1" applyBorder="1" applyAlignment="1">
      <alignment vertical="center" wrapText="1"/>
    </xf>
    <xf numFmtId="10" fontId="10" fillId="3" borderId="8" xfId="2" applyNumberFormat="1" applyFont="1" applyFill="1" applyBorder="1" applyAlignment="1">
      <alignment vertical="center" wrapText="1"/>
    </xf>
    <xf numFmtId="10" fontId="9" fillId="0" borderId="8" xfId="2" applyNumberFormat="1" applyFont="1" applyBorder="1" applyAlignment="1">
      <alignment horizontal="center" wrapText="1"/>
    </xf>
    <xf numFmtId="10" fontId="10" fillId="3" borderId="8" xfId="2" applyNumberFormat="1" applyFont="1" applyFill="1" applyBorder="1" applyAlignment="1">
      <alignment horizontal="center" wrapText="1"/>
    </xf>
    <xf numFmtId="10" fontId="13" fillId="3" borderId="8" xfId="2" applyNumberFormat="1" applyFont="1" applyFill="1" applyBorder="1" applyAlignment="1">
      <alignment horizontal="center" wrapText="1"/>
    </xf>
    <xf numFmtId="10" fontId="10" fillId="3" borderId="8" xfId="2" applyNumberFormat="1" applyFont="1" applyFill="1" applyBorder="1" applyAlignment="1">
      <alignment horizontal="center" vertical="center" wrapText="1"/>
    </xf>
    <xf numFmtId="10" fontId="10" fillId="4" borderId="8" xfId="2" applyNumberFormat="1" applyFont="1" applyFill="1" applyBorder="1" applyAlignment="1">
      <alignment horizontal="center" vertical="center" wrapText="1"/>
    </xf>
    <xf numFmtId="10" fontId="8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vertical="center"/>
    </xf>
    <xf numFmtId="0" fontId="11" fillId="0" borderId="8" xfId="7" applyFont="1" applyBorder="1"/>
    <xf numFmtId="0" fontId="11" fillId="0" borderId="8" xfId="6" applyFont="1" applyBorder="1"/>
    <xf numFmtId="0" fontId="2" fillId="3" borderId="8" xfId="0" applyFont="1" applyFill="1" applyBorder="1" applyAlignment="1">
      <alignment horizontal="center"/>
    </xf>
    <xf numFmtId="0" fontId="0" fillId="0" borderId="28" xfId="0" applyBorder="1"/>
    <xf numFmtId="0" fontId="2" fillId="0" borderId="0" xfId="0" applyFont="1" applyAlignment="1">
      <alignment horizontal="center"/>
    </xf>
    <xf numFmtId="10" fontId="2" fillId="0" borderId="0" xfId="2" applyNumberFormat="1" applyFont="1" applyAlignment="1">
      <alignment horizontal="center"/>
    </xf>
    <xf numFmtId="0" fontId="16" fillId="6" borderId="33" xfId="0" applyFont="1" applyFill="1" applyBorder="1" applyAlignment="1">
      <alignment horizontal="left" vertical="center"/>
    </xf>
    <xf numFmtId="14" fontId="0" fillId="0" borderId="0" xfId="0" applyNumberFormat="1"/>
    <xf numFmtId="0" fontId="0" fillId="5" borderId="28" xfId="0" applyFill="1" applyBorder="1"/>
    <xf numFmtId="0" fontId="0" fillId="0" borderId="8" xfId="0" applyBorder="1" applyAlignment="1">
      <alignment horizontal="center"/>
    </xf>
    <xf numFmtId="0" fontId="5" fillId="3" borderId="0" xfId="0" applyFont="1" applyFill="1" applyAlignment="1">
      <alignment horizontal="center" vertical="center" textRotation="90"/>
    </xf>
    <xf numFmtId="164" fontId="0" fillId="0" borderId="8" xfId="1" applyFont="1" applyBorder="1"/>
    <xf numFmtId="164" fontId="3" fillId="2" borderId="0" xfId="1" applyFont="1" applyFill="1" applyAlignment="1">
      <alignment horizontal="left"/>
    </xf>
    <xf numFmtId="164" fontId="4" fillId="0" borderId="0" xfId="1" applyFont="1"/>
    <xf numFmtId="164" fontId="3" fillId="2" borderId="0" xfId="1" applyFont="1" applyFill="1"/>
    <xf numFmtId="164" fontId="3" fillId="0" borderId="0" xfId="1" applyFont="1"/>
    <xf numFmtId="164" fontId="3" fillId="2" borderId="4" xfId="1" applyFont="1" applyFill="1" applyBorder="1"/>
    <xf numFmtId="164" fontId="3" fillId="2" borderId="1" xfId="1" applyFont="1" applyFill="1" applyBorder="1"/>
    <xf numFmtId="164" fontId="3" fillId="2" borderId="2" xfId="1" applyFont="1" applyFill="1" applyBorder="1" applyAlignment="1">
      <alignment horizontal="center"/>
    </xf>
    <xf numFmtId="164" fontId="3" fillId="2" borderId="0" xfId="1" applyFont="1" applyFill="1" applyAlignment="1">
      <alignment horizontal="center"/>
    </xf>
    <xf numFmtId="164" fontId="4" fillId="0" borderId="3" xfId="1" applyFont="1" applyBorder="1"/>
    <xf numFmtId="164" fontId="3" fillId="2" borderId="3" xfId="1" applyFont="1" applyFill="1" applyBorder="1"/>
    <xf numFmtId="164" fontId="4" fillId="2" borderId="0" xfId="1" applyFont="1" applyFill="1"/>
    <xf numFmtId="164" fontId="0" fillId="0" borderId="0" xfId="0" applyNumberFormat="1"/>
    <xf numFmtId="164" fontId="3" fillId="0" borderId="3" xfId="1" applyFont="1" applyBorder="1"/>
    <xf numFmtId="164" fontId="3" fillId="2" borderId="5" xfId="1" applyFont="1" applyFill="1" applyBorder="1"/>
    <xf numFmtId="164" fontId="4" fillId="2" borderId="2" xfId="1" applyFont="1" applyFill="1" applyBorder="1"/>
    <xf numFmtId="164" fontId="3" fillId="2" borderId="6" xfId="1" applyFont="1" applyFill="1" applyBorder="1"/>
    <xf numFmtId="164" fontId="3" fillId="2" borderId="7" xfId="1" applyFont="1" applyFill="1" applyBorder="1"/>
    <xf numFmtId="164" fontId="0" fillId="0" borderId="0" xfId="0" applyNumberFormat="1" applyAlignment="1">
      <alignment horizontal="center"/>
    </xf>
    <xf numFmtId="164" fontId="9" fillId="0" borderId="8" xfId="1" applyFont="1" applyBorder="1" applyAlignment="1">
      <alignment wrapText="1"/>
    </xf>
    <xf numFmtId="164" fontId="2" fillId="3" borderId="8" xfId="1" applyFont="1" applyFill="1" applyBorder="1"/>
    <xf numFmtId="164" fontId="10" fillId="3" borderId="8" xfId="1" applyFont="1" applyFill="1" applyBorder="1" applyAlignment="1">
      <alignment wrapText="1"/>
    </xf>
    <xf numFmtId="164" fontId="9" fillId="0" borderId="8" xfId="1" applyFont="1" applyBorder="1" applyAlignment="1">
      <alignment horizontal="right" wrapText="1"/>
    </xf>
    <xf numFmtId="164" fontId="8" fillId="3" borderId="8" xfId="1" applyFont="1" applyFill="1" applyBorder="1"/>
    <xf numFmtId="164" fontId="10" fillId="3" borderId="8" xfId="1" applyFont="1" applyFill="1" applyBorder="1" applyAlignment="1">
      <alignment horizontal="right" wrapText="1"/>
    </xf>
    <xf numFmtId="164" fontId="11" fillId="0" borderId="8" xfId="1" applyFont="1" applyBorder="1" applyAlignment="1">
      <alignment horizontal="right" wrapText="1"/>
    </xf>
    <xf numFmtId="164" fontId="11" fillId="0" borderId="8" xfId="1" applyFont="1" applyBorder="1" applyAlignment="1">
      <alignment horizontal="center" wrapText="1"/>
    </xf>
    <xf numFmtId="164" fontId="10" fillId="3" borderId="8" xfId="1" applyFont="1" applyFill="1" applyBorder="1" applyAlignment="1">
      <alignment horizontal="center" wrapText="1"/>
    </xf>
    <xf numFmtId="164" fontId="2" fillId="3" borderId="8" xfId="1" applyFont="1" applyFill="1" applyBorder="1" applyAlignment="1">
      <alignment horizontal="center"/>
    </xf>
    <xf numFmtId="164" fontId="0" fillId="0" borderId="8" xfId="1" applyFont="1" applyBorder="1" applyAlignment="1">
      <alignment horizontal="center" vertical="center"/>
    </xf>
    <xf numFmtId="164" fontId="2" fillId="3" borderId="8" xfId="1" applyFont="1" applyFill="1" applyBorder="1" applyAlignment="1">
      <alignment vertical="center"/>
    </xf>
    <xf numFmtId="164" fontId="8" fillId="3" borderId="8" xfId="1" applyFont="1" applyFill="1" applyBorder="1" applyAlignment="1">
      <alignment vertical="center"/>
    </xf>
    <xf numFmtId="164" fontId="2" fillId="3" borderId="8" xfId="0" applyNumberFormat="1" applyFont="1" applyFill="1" applyBorder="1"/>
    <xf numFmtId="164" fontId="0" fillId="0" borderId="8" xfId="0" applyNumberFormat="1" applyBorder="1"/>
    <xf numFmtId="164" fontId="8" fillId="3" borderId="8" xfId="0" applyNumberFormat="1" applyFont="1" applyFill="1" applyBorder="1"/>
    <xf numFmtId="164" fontId="0" fillId="0" borderId="0" xfId="1" applyFont="1"/>
    <xf numFmtId="0" fontId="0" fillId="0" borderId="0" xfId="0" applyAlignment="1">
      <alignment vertical="center"/>
    </xf>
    <xf numFmtId="0" fontId="8" fillId="0" borderId="0" xfId="0" applyFont="1"/>
    <xf numFmtId="165" fontId="1" fillId="0" borderId="0" xfId="11"/>
    <xf numFmtId="0" fontId="2" fillId="7" borderId="0" xfId="0" applyFont="1" applyFill="1" applyAlignment="1">
      <alignment horizontal="center"/>
    </xf>
    <xf numFmtId="165" fontId="2" fillId="7" borderId="0" xfId="11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15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15" xfId="0" applyBorder="1"/>
    <xf numFmtId="0" fontId="10" fillId="4" borderId="8" xfId="4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textRotation="90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/>
    <xf numFmtId="0" fontId="0" fillId="0" borderId="0" xfId="0"/>
    <xf numFmtId="166" fontId="0" fillId="0" borderId="0" xfId="2" applyNumberFormat="1" applyFont="1"/>
    <xf numFmtId="168" fontId="0" fillId="0" borderId="0" xfId="0" applyNumberFormat="1"/>
    <xf numFmtId="166" fontId="9" fillId="0" borderId="8" xfId="2" applyNumberFormat="1" applyFont="1" applyBorder="1" applyAlignment="1">
      <alignment horizontal="center" wrapText="1"/>
    </xf>
    <xf numFmtId="166" fontId="10" fillId="3" borderId="8" xfId="2" applyNumberFormat="1" applyFont="1" applyFill="1" applyBorder="1" applyAlignment="1">
      <alignment horizontal="center" wrapText="1"/>
    </xf>
    <xf numFmtId="166" fontId="13" fillId="3" borderId="8" xfId="2" applyNumberFormat="1" applyFont="1" applyFill="1" applyBorder="1" applyAlignment="1">
      <alignment horizontal="center" wrapText="1"/>
    </xf>
    <xf numFmtId="169" fontId="0" fillId="0" borderId="8" xfId="0" applyNumberFormat="1" applyBorder="1"/>
    <xf numFmtId="169" fontId="2" fillId="3" borderId="8" xfId="0" applyNumberFormat="1" applyFont="1" applyFill="1" applyBorder="1"/>
    <xf numFmtId="169" fontId="9" fillId="0" borderId="8" xfId="4" applyNumberFormat="1" applyFont="1" applyBorder="1" applyAlignment="1">
      <alignment horizontal="right" wrapText="1"/>
    </xf>
    <xf numFmtId="169" fontId="11" fillId="0" borderId="8" xfId="5" applyNumberFormat="1" applyFont="1" applyBorder="1" applyAlignment="1">
      <alignment horizontal="right" wrapText="1"/>
    </xf>
    <xf numFmtId="41" fontId="0" fillId="0" borderId="0" xfId="8" applyFont="1"/>
    <xf numFmtId="169" fontId="8" fillId="3" borderId="8" xfId="0" applyNumberFormat="1" applyFont="1" applyFill="1" applyBorder="1"/>
    <xf numFmtId="169" fontId="10" fillId="3" borderId="8" xfId="4" applyNumberFormat="1" applyFont="1" applyFill="1" applyBorder="1" applyAlignment="1">
      <alignment horizontal="right" wrapText="1"/>
    </xf>
    <xf numFmtId="169" fontId="11" fillId="0" borderId="8" xfId="6" applyNumberFormat="1" applyFont="1" applyBorder="1" applyAlignment="1">
      <alignment horizontal="right" wrapText="1"/>
    </xf>
    <xf numFmtId="169" fontId="10" fillId="3" borderId="8" xfId="6" applyNumberFormat="1" applyFont="1" applyFill="1" applyBorder="1" applyAlignment="1">
      <alignment horizontal="right" wrapText="1"/>
    </xf>
    <xf numFmtId="169" fontId="2" fillId="3" borderId="8" xfId="0" applyNumberFormat="1" applyFont="1" applyFill="1" applyBorder="1" applyAlignment="1">
      <alignment vertical="center"/>
    </xf>
    <xf numFmtId="166" fontId="10" fillId="3" borderId="8" xfId="2" applyNumberFormat="1" applyFont="1" applyFill="1" applyBorder="1" applyAlignment="1">
      <alignment horizontal="center" vertical="center" wrapText="1"/>
    </xf>
    <xf numFmtId="169" fontId="9" fillId="0" borderId="19" xfId="3" applyNumberFormat="1" applyFont="1" applyBorder="1" applyAlignment="1">
      <alignment horizontal="right" wrapText="1"/>
    </xf>
    <xf numFmtId="0" fontId="0" fillId="0" borderId="0" xfId="0"/>
    <xf numFmtId="44" fontId="0" fillId="0" borderId="0" xfId="0" applyNumberFormat="1"/>
    <xf numFmtId="0" fontId="22" fillId="9" borderId="5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/>
    </xf>
    <xf numFmtId="0" fontId="22" fillId="9" borderId="14" xfId="0" applyFont="1" applyFill="1" applyBorder="1" applyAlignment="1">
      <alignment horizontal="center" vertical="center"/>
    </xf>
    <xf numFmtId="0" fontId="19" fillId="0" borderId="2" xfId="0" applyFont="1" applyBorder="1"/>
    <xf numFmtId="0" fontId="19" fillId="0" borderId="1" xfId="0" applyFont="1" applyBorder="1" applyAlignment="1">
      <alignment horizontal="center"/>
    </xf>
    <xf numFmtId="164" fontId="19" fillId="0" borderId="2" xfId="1" applyFont="1" applyBorder="1"/>
    <xf numFmtId="10" fontId="19" fillId="0" borderId="2" xfId="2" applyNumberFormat="1" applyFont="1" applyBorder="1" applyAlignment="1">
      <alignment horizontal="center"/>
    </xf>
    <xf numFmtId="43" fontId="19" fillId="0" borderId="13" xfId="10" applyFont="1" applyBorder="1"/>
    <xf numFmtId="0" fontId="19" fillId="0" borderId="1" xfId="8" applyNumberFormat="1" applyFont="1" applyBorder="1" applyAlignment="1">
      <alignment horizontal="center"/>
    </xf>
    <xf numFmtId="164" fontId="19" fillId="0" borderId="2" xfId="1" applyFont="1" applyBorder="1" applyAlignment="1">
      <alignment horizontal="center"/>
    </xf>
    <xf numFmtId="164" fontId="19" fillId="0" borderId="13" xfId="1" applyFont="1" applyBorder="1" applyAlignment="1">
      <alignment horizontal="center"/>
    </xf>
    <xf numFmtId="0" fontId="19" fillId="0" borderId="0" xfId="0" applyFont="1"/>
    <xf numFmtId="0" fontId="19" fillId="0" borderId="3" xfId="0" applyFont="1" applyBorder="1" applyAlignment="1">
      <alignment horizontal="center"/>
    </xf>
    <xf numFmtId="164" fontId="19" fillId="0" borderId="0" xfId="1" applyFont="1"/>
    <xf numFmtId="10" fontId="19" fillId="0" borderId="0" xfId="2" applyNumberFormat="1" applyFont="1" applyAlignment="1">
      <alignment horizontal="center"/>
    </xf>
    <xf numFmtId="43" fontId="19" fillId="0" borderId="10" xfId="10" applyFont="1" applyBorder="1"/>
    <xf numFmtId="0" fontId="19" fillId="0" borderId="3" xfId="8" applyNumberFormat="1" applyFont="1" applyBorder="1" applyAlignment="1">
      <alignment horizontal="center"/>
    </xf>
    <xf numFmtId="164" fontId="19" fillId="0" borderId="0" xfId="1" applyFont="1" applyAlignment="1">
      <alignment horizontal="center"/>
    </xf>
    <xf numFmtId="164" fontId="19" fillId="0" borderId="10" xfId="1" applyFont="1" applyBorder="1" applyAlignment="1">
      <alignment horizontal="center"/>
    </xf>
    <xf numFmtId="0" fontId="23" fillId="0" borderId="4" xfId="0" applyFont="1" applyBorder="1"/>
    <xf numFmtId="0" fontId="22" fillId="0" borderId="5" xfId="0" applyFont="1" applyBorder="1" applyAlignment="1">
      <alignment horizontal="center"/>
    </xf>
    <xf numFmtId="165" fontId="22" fillId="0" borderId="4" xfId="11" applyFont="1" applyBorder="1" applyAlignment="1">
      <alignment horizontal="center"/>
    </xf>
    <xf numFmtId="10" fontId="22" fillId="0" borderId="4" xfId="2" applyNumberFormat="1" applyFont="1" applyBorder="1" applyAlignment="1">
      <alignment horizontal="center"/>
    </xf>
    <xf numFmtId="43" fontId="22" fillId="0" borderId="14" xfId="10" applyFont="1" applyBorder="1"/>
    <xf numFmtId="165" fontId="22" fillId="0" borderId="14" xfId="11" applyFont="1" applyBorder="1" applyAlignment="1">
      <alignment horizontal="center"/>
    </xf>
    <xf numFmtId="0" fontId="23" fillId="9" borderId="2" xfId="0" applyFont="1" applyFill="1" applyBorder="1" applyAlignment="1">
      <alignment vertical="center"/>
    </xf>
    <xf numFmtId="0" fontId="22" fillId="9" borderId="1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center" vertical="center"/>
    </xf>
    <xf numFmtId="166" fontId="19" fillId="0" borderId="0" xfId="2" applyNumberFormat="1" applyFont="1" applyAlignment="1">
      <alignment horizontal="center"/>
    </xf>
    <xf numFmtId="10" fontId="19" fillId="0" borderId="10" xfId="2" applyNumberFormat="1" applyFont="1" applyBorder="1" applyAlignment="1">
      <alignment horizontal="center"/>
    </xf>
    <xf numFmtId="0" fontId="19" fillId="0" borderId="3" xfId="1" applyNumberFormat="1" applyFont="1" applyBorder="1" applyAlignment="1">
      <alignment horizontal="center"/>
    </xf>
    <xf numFmtId="0" fontId="24" fillId="0" borderId="4" xfId="0" applyFont="1" applyBorder="1"/>
    <xf numFmtId="166" fontId="22" fillId="0" borderId="4" xfId="2" applyNumberFormat="1" applyFont="1" applyBorder="1" applyAlignment="1">
      <alignment horizontal="center"/>
    </xf>
    <xf numFmtId="10" fontId="22" fillId="0" borderId="14" xfId="2" applyNumberFormat="1" applyFont="1" applyBorder="1" applyAlignment="1">
      <alignment horizontal="center"/>
    </xf>
    <xf numFmtId="0" fontId="22" fillId="9" borderId="6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5" fontId="19" fillId="0" borderId="0" xfId="11" applyFont="1"/>
    <xf numFmtId="164" fontId="25" fillId="0" borderId="10" xfId="1" applyFont="1" applyBorder="1" applyAlignment="1">
      <alignment horizontal="center"/>
    </xf>
    <xf numFmtId="0" fontId="24" fillId="0" borderId="0" xfId="0" applyFont="1"/>
    <xf numFmtId="0" fontId="22" fillId="0" borderId="3" xfId="0" applyFont="1" applyBorder="1" applyAlignment="1">
      <alignment horizontal="center"/>
    </xf>
    <xf numFmtId="165" fontId="22" fillId="0" borderId="0" xfId="11" applyFont="1"/>
    <xf numFmtId="10" fontId="22" fillId="0" borderId="0" xfId="0" applyNumberFormat="1" applyFont="1" applyAlignment="1">
      <alignment horizontal="center"/>
    </xf>
    <xf numFmtId="164" fontId="21" fillId="0" borderId="10" xfId="1" applyFont="1" applyBorder="1" applyAlignment="1">
      <alignment horizontal="center"/>
    </xf>
    <xf numFmtId="0" fontId="19" fillId="0" borderId="4" xfId="0" applyFont="1" applyBorder="1"/>
    <xf numFmtId="0" fontId="19" fillId="0" borderId="5" xfId="0" applyFont="1" applyBorder="1" applyAlignment="1">
      <alignment horizontal="center"/>
    </xf>
    <xf numFmtId="164" fontId="19" fillId="0" borderId="4" xfId="1" applyFont="1" applyBorder="1"/>
    <xf numFmtId="10" fontId="19" fillId="0" borderId="4" xfId="2" applyNumberFormat="1" applyFont="1" applyBorder="1" applyAlignment="1">
      <alignment horizontal="center"/>
    </xf>
    <xf numFmtId="164" fontId="25" fillId="0" borderId="14" xfId="1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center"/>
    </xf>
    <xf numFmtId="0" fontId="26" fillId="8" borderId="0" xfId="0" applyFont="1" applyFill="1"/>
    <xf numFmtId="0" fontId="22" fillId="8" borderId="0" xfId="0" applyFont="1" applyFill="1" applyAlignment="1">
      <alignment horizontal="center"/>
    </xf>
    <xf numFmtId="167" fontId="22" fillId="8" borderId="0" xfId="11" applyNumberFormat="1" applyFont="1" applyFill="1" applyAlignment="1">
      <alignment horizontal="center"/>
    </xf>
    <xf numFmtId="10" fontId="22" fillId="8" borderId="0" xfId="2" applyNumberFormat="1" applyFont="1" applyFill="1" applyAlignment="1">
      <alignment horizontal="center"/>
    </xf>
    <xf numFmtId="0" fontId="22" fillId="9" borderId="0" xfId="0" applyFont="1" applyFill="1"/>
    <xf numFmtId="165" fontId="22" fillId="9" borderId="0" xfId="11" applyFont="1" applyFill="1"/>
    <xf numFmtId="10" fontId="22" fillId="9" borderId="0" xfId="2" applyNumberFormat="1" applyFont="1" applyFill="1" applyAlignment="1">
      <alignment horizontal="center"/>
    </xf>
    <xf numFmtId="166" fontId="24" fillId="9" borderId="0" xfId="2" applyNumberFormat="1" applyFont="1" applyFill="1" applyAlignment="1">
      <alignment horizontal="center"/>
    </xf>
    <xf numFmtId="164" fontId="24" fillId="9" borderId="0" xfId="1" applyFont="1" applyFill="1"/>
    <xf numFmtId="164" fontId="24" fillId="9" borderId="10" xfId="1" applyFont="1" applyFill="1" applyBorder="1"/>
    <xf numFmtId="0" fontId="24" fillId="9" borderId="0" xfId="0" applyFont="1" applyFill="1"/>
    <xf numFmtId="166" fontId="24" fillId="9" borderId="4" xfId="1" applyNumberFormat="1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166" fontId="24" fillId="9" borderId="0" xfId="2" applyNumberFormat="1" applyFont="1" applyFill="1"/>
    <xf numFmtId="166" fontId="24" fillId="9" borderId="4" xfId="1" applyNumberFormat="1" applyFont="1" applyFill="1" applyBorder="1"/>
    <xf numFmtId="0" fontId="18" fillId="9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7" fillId="0" borderId="0" xfId="0" applyFont="1"/>
    <xf numFmtId="164" fontId="27" fillId="0" borderId="0" xfId="0" applyNumberFormat="1" applyFont="1" applyAlignment="1">
      <alignment vertical="center"/>
    </xf>
    <xf numFmtId="0" fontId="26" fillId="8" borderId="4" xfId="0" applyFont="1" applyFill="1" applyBorder="1"/>
    <xf numFmtId="10" fontId="22" fillId="8" borderId="4" xfId="2" applyNumberFormat="1" applyFont="1" applyFill="1" applyBorder="1" applyAlignment="1">
      <alignment horizontal="center"/>
    </xf>
    <xf numFmtId="10" fontId="22" fillId="8" borderId="14" xfId="2" applyNumberFormat="1" applyFont="1" applyFill="1" applyBorder="1" applyAlignment="1">
      <alignment horizontal="center"/>
    </xf>
    <xf numFmtId="10" fontId="24" fillId="9" borderId="0" xfId="0" applyNumberFormat="1" applyFont="1" applyFill="1" applyAlignment="1">
      <alignment horizontal="center"/>
    </xf>
    <xf numFmtId="10" fontId="24" fillId="9" borderId="0" xfId="11" applyNumberFormat="1" applyFont="1" applyFill="1"/>
    <xf numFmtId="0" fontId="29" fillId="0" borderId="0" xfId="0" applyFont="1"/>
    <xf numFmtId="172" fontId="24" fillId="9" borderId="7" xfId="0" applyNumberFormat="1" applyFont="1" applyFill="1" applyBorder="1" applyAlignment="1">
      <alignment horizontal="center"/>
    </xf>
    <xf numFmtId="165" fontId="24" fillId="9" borderId="7" xfId="0" applyNumberFormat="1" applyFont="1" applyFill="1" applyBorder="1" applyAlignment="1">
      <alignment horizontal="center"/>
    </xf>
    <xf numFmtId="172" fontId="19" fillId="0" borderId="0" xfId="1" applyNumberFormat="1" applyFont="1" applyAlignment="1">
      <alignment horizontal="center"/>
    </xf>
    <xf numFmtId="172" fontId="22" fillId="8" borderId="4" xfId="11" applyNumberFormat="1" applyFont="1" applyFill="1" applyBorder="1" applyAlignment="1">
      <alignment horizontal="center"/>
    </xf>
    <xf numFmtId="171" fontId="18" fillId="9" borderId="7" xfId="0" applyNumberFormat="1" applyFont="1" applyFill="1" applyBorder="1" applyAlignment="1">
      <alignment horizontal="center" vertical="center"/>
    </xf>
    <xf numFmtId="171" fontId="18" fillId="9" borderId="17" xfId="0" applyNumberFormat="1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172" fontId="19" fillId="0" borderId="2" xfId="1" applyNumberFormat="1" applyFont="1" applyBorder="1" applyAlignment="1">
      <alignment horizontal="center"/>
    </xf>
    <xf numFmtId="170" fontId="28" fillId="0" borderId="6" xfId="0" applyNumberFormat="1" applyFont="1" applyBorder="1" applyAlignment="1">
      <alignment vertical="center"/>
    </xf>
    <xf numFmtId="170" fontId="28" fillId="0" borderId="7" xfId="0" applyNumberFormat="1" applyFont="1" applyBorder="1" applyAlignment="1">
      <alignment vertical="center"/>
    </xf>
    <xf numFmtId="0" fontId="22" fillId="9" borderId="2" xfId="0" applyFont="1" applyFill="1" applyBorder="1" applyAlignment="1">
      <alignment horizontal="center"/>
    </xf>
    <xf numFmtId="0" fontId="19" fillId="9" borderId="2" xfId="0" applyFont="1" applyFill="1" applyBorder="1"/>
    <xf numFmtId="0" fontId="21" fillId="9" borderId="30" xfId="0" applyFont="1" applyFill="1" applyBorder="1" applyAlignment="1">
      <alignment horizontal="center" vertical="center"/>
    </xf>
    <xf numFmtId="0" fontId="19" fillId="9" borderId="13" xfId="0" applyFont="1" applyFill="1" applyBorder="1"/>
    <xf numFmtId="0" fontId="22" fillId="9" borderId="13" xfId="0" applyFont="1" applyFill="1" applyBorder="1" applyAlignment="1">
      <alignment horizontal="center"/>
    </xf>
    <xf numFmtId="165" fontId="24" fillId="9" borderId="0" xfId="0" applyNumberFormat="1" applyFont="1" applyFill="1" applyAlignment="1">
      <alignment horizontal="center"/>
    </xf>
    <xf numFmtId="0" fontId="19" fillId="9" borderId="0" xfId="0" applyFont="1" applyFill="1"/>
    <xf numFmtId="0" fontId="24" fillId="9" borderId="4" xfId="0" applyFont="1" applyFill="1" applyBorder="1" applyAlignment="1">
      <alignment horizontal="center"/>
    </xf>
    <xf numFmtId="44" fontId="24" fillId="9" borderId="4" xfId="0" applyNumberFormat="1" applyFont="1" applyFill="1" applyBorder="1" applyAlignment="1">
      <alignment horizontal="center"/>
    </xf>
    <xf numFmtId="0" fontId="24" fillId="9" borderId="29" xfId="0" applyFont="1" applyFill="1" applyBorder="1" applyAlignment="1">
      <alignment horizontal="left" vertical="center" indent="5"/>
    </xf>
    <xf numFmtId="0" fontId="19" fillId="9" borderId="7" xfId="0" applyFont="1" applyFill="1" applyBorder="1"/>
    <xf numFmtId="0" fontId="19" fillId="9" borderId="17" xfId="0" applyFont="1" applyFill="1" applyBorder="1"/>
    <xf numFmtId="0" fontId="18" fillId="9" borderId="29" xfId="0" applyFont="1" applyFill="1" applyBorder="1" applyAlignment="1">
      <alignment horizontal="left" vertical="center" indent="5"/>
    </xf>
    <xf numFmtId="0" fontId="27" fillId="9" borderId="0" xfId="0" applyFont="1" applyFill="1"/>
    <xf numFmtId="0" fontId="18" fillId="9" borderId="0" xfId="0" applyFont="1" applyFill="1" applyAlignment="1">
      <alignment horizontal="center" vertical="center"/>
    </xf>
    <xf numFmtId="0" fontId="18" fillId="9" borderId="32" xfId="0" applyFont="1" applyFill="1" applyBorder="1" applyAlignment="1">
      <alignment horizontal="center" vertical="center" textRotation="90"/>
    </xf>
    <xf numFmtId="0" fontId="19" fillId="9" borderId="31" xfId="0" applyFont="1" applyFill="1" applyBorder="1"/>
    <xf numFmtId="0" fontId="19" fillId="9" borderId="32" xfId="0" applyFont="1" applyFill="1" applyBorder="1"/>
    <xf numFmtId="0" fontId="21" fillId="9" borderId="6" xfId="0" applyFont="1" applyFill="1" applyBorder="1" applyAlignment="1">
      <alignment horizontal="center" vertical="center" textRotation="90"/>
    </xf>
    <xf numFmtId="0" fontId="19" fillId="9" borderId="3" xfId="0" applyFont="1" applyFill="1" applyBorder="1"/>
    <xf numFmtId="0" fontId="19" fillId="9" borderId="5" xfId="0" applyFont="1" applyFill="1" applyBorder="1"/>
    <xf numFmtId="0" fontId="20" fillId="9" borderId="4" xfId="0" applyFont="1" applyFill="1" applyBorder="1" applyAlignment="1">
      <alignment horizontal="center" vertical="center"/>
    </xf>
    <xf numFmtId="0" fontId="19" fillId="9" borderId="4" xfId="0" applyFont="1" applyFill="1" applyBorder="1"/>
    <xf numFmtId="0" fontId="18" fillId="9" borderId="32" xfId="0" applyFont="1" applyFill="1" applyBorder="1" applyAlignment="1">
      <alignment horizontal="center" vertical="center"/>
    </xf>
    <xf numFmtId="0" fontId="19" fillId="9" borderId="10" xfId="0" applyFont="1" applyFill="1" applyBorder="1"/>
    <xf numFmtId="0" fontId="19" fillId="9" borderId="14" xfId="0" applyFont="1" applyFill="1" applyBorder="1"/>
    <xf numFmtId="0" fontId="22" fillId="9" borderId="2" xfId="0" applyFont="1" applyFill="1" applyBorder="1" applyAlignment="1">
      <alignment horizontal="left" vertical="center"/>
    </xf>
    <xf numFmtId="0" fontId="18" fillId="9" borderId="29" xfId="0" applyFont="1" applyFill="1" applyBorder="1" applyAlignment="1">
      <alignment horizontal="center" vertical="center" textRotation="90"/>
    </xf>
    <xf numFmtId="0" fontId="1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4" xfId="0" applyBorder="1"/>
    <xf numFmtId="0" fontId="21" fillId="9" borderId="29" xfId="0" applyFont="1" applyFill="1" applyBorder="1" applyAlignment="1">
      <alignment horizontal="center" vertical="center" textRotation="90"/>
    </xf>
    <xf numFmtId="0" fontId="21" fillId="9" borderId="35" xfId="0" applyFont="1" applyFill="1" applyBorder="1" applyAlignment="1">
      <alignment horizontal="center" vertical="center" textRotation="90"/>
    </xf>
    <xf numFmtId="0" fontId="19" fillId="9" borderId="36" xfId="0" applyFont="1" applyFill="1" applyBorder="1"/>
    <xf numFmtId="0" fontId="21" fillId="9" borderId="5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/>
    </xf>
    <xf numFmtId="0" fontId="0" fillId="0" borderId="12" xfId="0" applyBorder="1"/>
    <xf numFmtId="164" fontId="3" fillId="2" borderId="1" xfId="1" applyFont="1" applyFill="1" applyBorder="1" applyAlignment="1">
      <alignment horizontal="left"/>
    </xf>
    <xf numFmtId="0" fontId="0" fillId="0" borderId="2" xfId="0" applyBorder="1"/>
    <xf numFmtId="164" fontId="3" fillId="2" borderId="3" xfId="1" applyFont="1" applyFill="1" applyBorder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0" fillId="3" borderId="8" xfId="0" applyFill="1" applyBorder="1" applyAlignment="1">
      <alignment horizontal="center" vertical="center" textRotation="90"/>
    </xf>
    <xf numFmtId="0" fontId="0" fillId="0" borderId="15" xfId="0" applyBorder="1"/>
    <xf numFmtId="0" fontId="7" fillId="3" borderId="8" xfId="0" applyFont="1" applyFill="1" applyBorder="1" applyAlignment="1">
      <alignment horizontal="center" textRotation="90"/>
    </xf>
    <xf numFmtId="0" fontId="5" fillId="3" borderId="8" xfId="0" applyFont="1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 textRotation="90"/>
    </xf>
    <xf numFmtId="0" fontId="8" fillId="3" borderId="8" xfId="0" applyFont="1" applyFill="1" applyBorder="1" applyAlignment="1">
      <alignment horizontal="left"/>
    </xf>
    <xf numFmtId="0" fontId="0" fillId="0" borderId="9" xfId="0" applyBorder="1"/>
    <xf numFmtId="0" fontId="0" fillId="0" borderId="34" xfId="0" applyBorder="1"/>
    <xf numFmtId="164" fontId="2" fillId="0" borderId="8" xfId="1" applyFont="1" applyBorder="1" applyAlignment="1">
      <alignment horizontal="center"/>
    </xf>
    <xf numFmtId="0" fontId="0" fillId="0" borderId="26" xfId="0" applyBorder="1"/>
    <xf numFmtId="0" fontId="0" fillId="0" borderId="16" xfId="0" applyBorder="1"/>
    <xf numFmtId="0" fontId="0" fillId="0" borderId="22" xfId="0" applyBorder="1"/>
    <xf numFmtId="0" fontId="0" fillId="0" borderId="27" xfId="0" applyBorder="1"/>
    <xf numFmtId="0" fontId="0" fillId="0" borderId="25" xfId="0" applyBorder="1"/>
    <xf numFmtId="164" fontId="0" fillId="0" borderId="8" xfId="1" applyFont="1" applyBorder="1" applyAlignment="1">
      <alignment horizontal="center"/>
    </xf>
    <xf numFmtId="0" fontId="10" fillId="4" borderId="8" xfId="4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textRotation="90"/>
    </xf>
    <xf numFmtId="0" fontId="8" fillId="3" borderId="24" xfId="0" applyFont="1" applyFill="1" applyBorder="1" applyAlignment="1">
      <alignment horizontal="left"/>
    </xf>
    <xf numFmtId="0" fontId="0" fillId="0" borderId="23" xfId="0" applyBorder="1"/>
    <xf numFmtId="0" fontId="5" fillId="3" borderId="22" xfId="0" applyFont="1" applyFill="1" applyBorder="1" applyAlignment="1">
      <alignment horizontal="center" vertical="center" textRotation="90"/>
    </xf>
    <xf numFmtId="10" fontId="0" fillId="0" borderId="0" xfId="2" applyNumberFormat="1" applyFont="1" applyAlignment="1">
      <alignment horizontal="center"/>
    </xf>
    <xf numFmtId="0" fontId="2" fillId="0" borderId="8" xfId="0" applyFont="1" applyBorder="1" applyAlignment="1">
      <alignment horizontal="center" vertical="center"/>
    </xf>
  </cellXfs>
  <cellStyles count="12">
    <cellStyle name="Millares" xfId="10" builtinId="3"/>
    <cellStyle name="Millares [0]" xfId="8" builtinId="6"/>
    <cellStyle name="Moneda" xfId="11" builtinId="4"/>
    <cellStyle name="Moneda [0]" xfId="1" builtinId="7"/>
    <cellStyle name="Moneda [0] 2" xfId="9" xr:uid="{00000000-0005-0000-0000-000009000000}"/>
    <cellStyle name="Normal" xfId="0" builtinId="0"/>
    <cellStyle name="Normal_Hoja3" xfId="3" xr:uid="{00000000-0005-0000-0000-000003000000}"/>
    <cellStyle name="Normal_Hoja4" xfId="4" xr:uid="{00000000-0005-0000-0000-000004000000}"/>
    <cellStyle name="Normal_Hoja4_1" xfId="5" xr:uid="{00000000-0005-0000-0000-000005000000}"/>
    <cellStyle name="Normal_SANDVILLE" xfId="7" xr:uid="{00000000-0005-0000-0000-000007000000}"/>
    <cellStyle name="Normal_WESTVILLE" xfId="6" xr:uid="{00000000-0005-0000-0000-000006000000}"/>
    <cellStyle name="Porcentaje" xfId="2" builtinId="5"/>
  </cellStyles>
  <dxfs count="6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277178</xdr:colOff>
      <xdr:row>3</xdr:row>
      <xdr:rowOff>83821</xdr:rowOff>
    </xdr:from>
    <xdr:to>
      <xdr:col>10</xdr:col>
      <xdr:colOff>726607</xdr:colOff>
      <xdr:row>12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4898" y="769621"/>
          <a:ext cx="3786989" cy="1638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119062</xdr:colOff>
      <xdr:row>5</xdr:row>
      <xdr:rowOff>83343</xdr:rowOff>
    </xdr:from>
    <xdr:to>
      <xdr:col>9</xdr:col>
      <xdr:colOff>798258</xdr:colOff>
      <xdr:row>10</xdr:row>
      <xdr:rowOff>15715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3906" y="976312"/>
          <a:ext cx="2881852" cy="81962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L87"/>
  <sheetViews>
    <sheetView tabSelected="1" view="pageBreakPreview" zoomScale="80" zoomScaleNormal="80" zoomScaleSheetLayoutView="80" workbookViewId="0">
      <selection sqref="A1:K2"/>
    </sheetView>
  </sheetViews>
  <sheetFormatPr baseColWidth="10" defaultRowHeight="14.4" x14ac:dyDescent="0.3"/>
  <cols>
    <col min="1" max="1" width="6.5546875" style="106" customWidth="1"/>
    <col min="2" max="2" width="6" style="98" customWidth="1"/>
    <col min="3" max="3" width="45.5546875" style="106" customWidth="1"/>
    <col min="4" max="4" width="9.5546875" style="106" customWidth="1"/>
    <col min="5" max="5" width="19.6640625" style="106" bestFit="1" customWidth="1"/>
    <col min="6" max="6" width="17.5546875" style="106" customWidth="1"/>
    <col min="7" max="7" width="19.44140625" style="106" bestFit="1" customWidth="1"/>
    <col min="8" max="8" width="16.109375" style="106" customWidth="1"/>
    <col min="9" max="9" width="20.5546875" style="106" customWidth="1"/>
    <col min="10" max="10" width="17.88671875" style="106" customWidth="1"/>
    <col min="11" max="11" width="19.44140625" style="106" bestFit="1" customWidth="1"/>
    <col min="12" max="12" width="3.33203125" style="106" hidden="1" customWidth="1"/>
  </cols>
  <sheetData>
    <row r="1" spans="1:12" ht="18.75" customHeight="1" thickBot="1" x14ac:dyDescent="0.35">
      <c r="A1" s="247" t="s">
        <v>446</v>
      </c>
      <c r="B1" s="248"/>
      <c r="C1" s="249"/>
      <c r="D1" s="249"/>
      <c r="E1" s="249"/>
      <c r="F1" s="249"/>
      <c r="G1" s="249"/>
      <c r="H1" s="249"/>
      <c r="I1" s="249"/>
      <c r="J1" s="249"/>
      <c r="K1" s="249"/>
    </row>
    <row r="2" spans="1:12" ht="32.4" customHeight="1" thickBot="1" x14ac:dyDescent="0.35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</row>
    <row r="3" spans="1:12" s="90" customFormat="1" ht="21.6" customHeight="1" thickBot="1" x14ac:dyDescent="0.35">
      <c r="A3" s="242" t="s">
        <v>0</v>
      </c>
      <c r="B3" s="243"/>
      <c r="C3" s="240" t="s">
        <v>1</v>
      </c>
      <c r="D3" s="221" t="s">
        <v>2</v>
      </c>
      <c r="E3" s="220"/>
      <c r="F3" s="220"/>
      <c r="G3" s="222"/>
      <c r="H3" s="221" t="s">
        <v>3</v>
      </c>
      <c r="I3" s="220"/>
      <c r="J3" s="220"/>
      <c r="K3" s="222"/>
    </row>
    <row r="4" spans="1:12" ht="15" customHeight="1" thickBot="1" x14ac:dyDescent="0.35">
      <c r="A4" s="239"/>
      <c r="B4" s="244"/>
      <c r="C4" s="241"/>
      <c r="D4" s="126" t="s">
        <v>4</v>
      </c>
      <c r="E4" s="127" t="s">
        <v>5</v>
      </c>
      <c r="F4" s="127" t="s">
        <v>6</v>
      </c>
      <c r="G4" s="128" t="s">
        <v>7</v>
      </c>
      <c r="H4" s="126" t="s">
        <v>4</v>
      </c>
      <c r="I4" s="127" t="s">
        <v>5</v>
      </c>
      <c r="J4" s="127" t="s">
        <v>6</v>
      </c>
      <c r="K4" s="129" t="s">
        <v>7</v>
      </c>
    </row>
    <row r="5" spans="1:12" ht="14.4" customHeight="1" thickBot="1" x14ac:dyDescent="0.35">
      <c r="A5" s="246" t="s">
        <v>8</v>
      </c>
      <c r="B5" s="251" t="s">
        <v>9</v>
      </c>
      <c r="C5" s="130" t="s">
        <v>10</v>
      </c>
      <c r="D5" s="131">
        <f>+Ventas!B2</f>
        <v>0</v>
      </c>
      <c r="E5" s="132">
        <f>+Ventas!C2</f>
        <v>0</v>
      </c>
      <c r="F5" s="133" t="e">
        <f>+E5/$E$8</f>
        <v>#DIV/0!</v>
      </c>
      <c r="G5" s="134" t="e">
        <f>+E5/D5</f>
        <v>#DIV/0!</v>
      </c>
      <c r="H5" s="135">
        <f>+Ventas!D2</f>
        <v>0</v>
      </c>
      <c r="I5" s="136">
        <f>+Ventas!E2</f>
        <v>0</v>
      </c>
      <c r="J5" s="133" t="e">
        <f>+I5/$I$8</f>
        <v>#DIV/0!</v>
      </c>
      <c r="K5" s="137" t="e">
        <f>+I5/H5</f>
        <v>#DIV/0!</v>
      </c>
    </row>
    <row r="6" spans="1:12" x14ac:dyDescent="0.3">
      <c r="A6" s="235"/>
      <c r="B6" s="235"/>
      <c r="C6" s="138" t="s">
        <v>11</v>
      </c>
      <c r="D6" s="139">
        <f>+Ventas!B3</f>
        <v>0</v>
      </c>
      <c r="E6" s="140">
        <f>+Ventas!C3</f>
        <v>0</v>
      </c>
      <c r="F6" s="141" t="e">
        <f>+E6/$E$8</f>
        <v>#DIV/0!</v>
      </c>
      <c r="G6" s="142" t="e">
        <f>+E6/D6</f>
        <v>#DIV/0!</v>
      </c>
      <c r="H6" s="143">
        <f>+Ventas!D3</f>
        <v>0</v>
      </c>
      <c r="I6" s="144">
        <f>+Ventas!E3</f>
        <v>0</v>
      </c>
      <c r="J6" s="141" t="e">
        <f>+I6/$I$8</f>
        <v>#DIV/0!</v>
      </c>
      <c r="K6" s="145" t="e">
        <f>+I6/H6</f>
        <v>#DIV/0!</v>
      </c>
    </row>
    <row r="7" spans="1:12" x14ac:dyDescent="0.3">
      <c r="A7" s="235"/>
      <c r="B7" s="235"/>
      <c r="C7" s="138" t="s">
        <v>12</v>
      </c>
      <c r="D7" s="139">
        <f>+Ventas!B4</f>
        <v>0</v>
      </c>
      <c r="E7" s="140">
        <f>+Ventas!C4</f>
        <v>0</v>
      </c>
      <c r="F7" s="141" t="e">
        <f>+E7/$E$8</f>
        <v>#DIV/0!</v>
      </c>
      <c r="G7" s="142" t="e">
        <f>+E7/D7</f>
        <v>#DIV/0!</v>
      </c>
      <c r="H7" s="143">
        <f>+Ventas!D4</f>
        <v>0</v>
      </c>
      <c r="I7" s="144">
        <f>+Ventas!E4</f>
        <v>0</v>
      </c>
      <c r="J7" s="141" t="e">
        <f>+I7/$I$8</f>
        <v>#DIV/0!</v>
      </c>
      <c r="K7" s="145" t="e">
        <f>+I7/H7</f>
        <v>#DIV/0!</v>
      </c>
    </row>
    <row r="8" spans="1:12" ht="16.2" customHeight="1" thickBot="1" x14ac:dyDescent="0.35">
      <c r="A8" s="235"/>
      <c r="B8" s="236"/>
      <c r="C8" s="146" t="s">
        <v>13</v>
      </c>
      <c r="D8" s="147">
        <f>SUM(D5:D7)</f>
        <v>0</v>
      </c>
      <c r="E8" s="148">
        <f>SUM(E5:E7)</f>
        <v>0</v>
      </c>
      <c r="F8" s="149" t="e">
        <f>SUM(F5:F7)</f>
        <v>#DIV/0!</v>
      </c>
      <c r="G8" s="150" t="e">
        <f>+E8/D8</f>
        <v>#DIV/0!</v>
      </c>
      <c r="H8" s="147">
        <f>SUM(H5:H7)</f>
        <v>0</v>
      </c>
      <c r="I8" s="148">
        <f>SUM(I5:I7)</f>
        <v>0</v>
      </c>
      <c r="J8" s="149" t="e">
        <f>SUM(J5:J7)</f>
        <v>#DIV/0!</v>
      </c>
      <c r="K8" s="151" t="e">
        <f>+I8/H8</f>
        <v>#DIV/0!</v>
      </c>
    </row>
    <row r="9" spans="1:12" s="90" customFormat="1" ht="14.4" customHeight="1" thickBot="1" x14ac:dyDescent="0.35">
      <c r="A9" s="235"/>
      <c r="B9" s="251" t="s">
        <v>14</v>
      </c>
      <c r="C9" s="152" t="s">
        <v>15</v>
      </c>
      <c r="D9" s="153" t="s">
        <v>4</v>
      </c>
      <c r="E9" s="154" t="s">
        <v>5</v>
      </c>
      <c r="F9" s="154" t="s">
        <v>6</v>
      </c>
      <c r="G9" s="155" t="s">
        <v>16</v>
      </c>
      <c r="H9" s="153" t="s">
        <v>4</v>
      </c>
      <c r="I9" s="156" t="s">
        <v>5</v>
      </c>
      <c r="J9" s="154" t="s">
        <v>6</v>
      </c>
      <c r="K9" s="155" t="s">
        <v>16</v>
      </c>
    </row>
    <row r="10" spans="1:12" x14ac:dyDescent="0.3">
      <c r="A10" s="235"/>
      <c r="B10" s="235"/>
      <c r="C10" s="138" t="s">
        <v>17</v>
      </c>
      <c r="D10" s="139">
        <f>+Ventas!B5</f>
        <v>0</v>
      </c>
      <c r="E10" s="140">
        <f>+Ventas!C5</f>
        <v>0</v>
      </c>
      <c r="F10" s="157" t="e">
        <f>+E10/$E$12</f>
        <v>#DIV/0!</v>
      </c>
      <c r="G10" s="158" t="e">
        <f>+E10/E5</f>
        <v>#DIV/0!</v>
      </c>
      <c r="H10" s="135">
        <f>+Ventas!D5</f>
        <v>0</v>
      </c>
      <c r="I10" s="144">
        <f>+Ventas!E5</f>
        <v>0</v>
      </c>
      <c r="J10" s="157" t="e">
        <f>+I10/$I$12</f>
        <v>#DIV/0!</v>
      </c>
      <c r="K10" s="158" t="e">
        <f>+I10/I8</f>
        <v>#DIV/0!</v>
      </c>
      <c r="L10" s="107"/>
    </row>
    <row r="11" spans="1:12" x14ac:dyDescent="0.3">
      <c r="A11" s="235"/>
      <c r="B11" s="235"/>
      <c r="C11" s="138" t="s">
        <v>18</v>
      </c>
      <c r="D11" s="139">
        <f>+Ventas!B6</f>
        <v>0</v>
      </c>
      <c r="E11" s="140">
        <f>+Ventas!C6</f>
        <v>0</v>
      </c>
      <c r="F11" s="157" t="e">
        <f>+E11/$E$12</f>
        <v>#DIV/0!</v>
      </c>
      <c r="G11" s="158" t="e">
        <f>+E11/E5</f>
        <v>#DIV/0!</v>
      </c>
      <c r="H11" s="159">
        <f>+Ventas!D6</f>
        <v>0</v>
      </c>
      <c r="I11" s="144">
        <f>+Ventas!E6</f>
        <v>0</v>
      </c>
      <c r="J11" s="157" t="e">
        <f>+I11/$I$12</f>
        <v>#DIV/0!</v>
      </c>
      <c r="K11" s="158" t="e">
        <f>+I11/I8</f>
        <v>#DIV/0!</v>
      </c>
      <c r="L11" s="107"/>
    </row>
    <row r="12" spans="1:12" ht="18.600000000000001" customHeight="1" thickBot="1" x14ac:dyDescent="0.4">
      <c r="A12" s="235"/>
      <c r="B12" s="236"/>
      <c r="C12" s="160" t="s">
        <v>19</v>
      </c>
      <c r="D12" s="147">
        <f>+Ventas!B7</f>
        <v>0</v>
      </c>
      <c r="E12" s="148">
        <f>+Ventas!C7</f>
        <v>0</v>
      </c>
      <c r="F12" s="161" t="e">
        <f>+E12/$E$12</f>
        <v>#DIV/0!</v>
      </c>
      <c r="G12" s="162" t="e">
        <f>+E12/E5</f>
        <v>#DIV/0!</v>
      </c>
      <c r="H12" s="147">
        <f>+Ventas!D7</f>
        <v>0</v>
      </c>
      <c r="I12" s="148">
        <f>SUM(I9:I11)</f>
        <v>0</v>
      </c>
      <c r="J12" s="149" t="e">
        <f>SUM(J9:J11)</f>
        <v>#DIV/0!</v>
      </c>
      <c r="K12" s="162" t="e">
        <f>+I12/I8</f>
        <v>#DIV/0!</v>
      </c>
      <c r="L12" s="107"/>
    </row>
    <row r="13" spans="1:12" ht="15.6" customHeight="1" thickBot="1" x14ac:dyDescent="0.35">
      <c r="A13" s="235"/>
      <c r="B13" s="252" t="s">
        <v>20</v>
      </c>
      <c r="C13" s="152" t="s">
        <v>21</v>
      </c>
      <c r="D13" s="163" t="s">
        <v>4</v>
      </c>
      <c r="E13" s="156" t="s">
        <v>5</v>
      </c>
      <c r="F13" s="156" t="s">
        <v>6</v>
      </c>
      <c r="G13" s="164" t="s">
        <v>7</v>
      </c>
      <c r="H13" s="163" t="s">
        <v>4</v>
      </c>
      <c r="I13" s="156" t="s">
        <v>5</v>
      </c>
      <c r="J13" s="156" t="s">
        <v>6</v>
      </c>
      <c r="K13" s="164" t="s">
        <v>7</v>
      </c>
    </row>
    <row r="14" spans="1:12" ht="15.6" customHeight="1" x14ac:dyDescent="0.3">
      <c r="A14" s="235"/>
      <c r="B14" s="235"/>
      <c r="C14" s="165" t="s">
        <v>22</v>
      </c>
      <c r="D14" s="139">
        <f>+D8</f>
        <v>0</v>
      </c>
      <c r="E14" s="166">
        <f>+E8</f>
        <v>0</v>
      </c>
      <c r="F14" s="141" t="e">
        <f>+D14/$D$17</f>
        <v>#DIV/0!</v>
      </c>
      <c r="G14" s="167" t="e">
        <f>+E14/D14</f>
        <v>#DIV/0!</v>
      </c>
      <c r="H14" s="139">
        <f>+H8</f>
        <v>0</v>
      </c>
      <c r="I14" s="166">
        <f>+I8</f>
        <v>0</v>
      </c>
      <c r="J14" s="141" t="e">
        <f>+H14/$H$17</f>
        <v>#DIV/0!</v>
      </c>
      <c r="K14" s="167" t="e">
        <f>+I14/H14</f>
        <v>#DIV/0!</v>
      </c>
    </row>
    <row r="15" spans="1:12" ht="15.6" customHeight="1" x14ac:dyDescent="0.3">
      <c r="A15" s="235"/>
      <c r="B15" s="235"/>
      <c r="C15" s="165" t="s">
        <v>23</v>
      </c>
      <c r="D15" s="139">
        <f>+Ventas!B9</f>
        <v>0</v>
      </c>
      <c r="E15" s="140">
        <f>+Ventas!C9</f>
        <v>0</v>
      </c>
      <c r="F15" s="141" t="e">
        <f>+D15/$D$17</f>
        <v>#DIV/0!</v>
      </c>
      <c r="G15" s="167" t="e">
        <f>+E15/D15</f>
        <v>#DIV/0!</v>
      </c>
      <c r="H15" s="139">
        <f>+Ventas!D9</f>
        <v>0</v>
      </c>
      <c r="I15" s="140">
        <f>+Ventas!E9</f>
        <v>0</v>
      </c>
      <c r="J15" s="141" t="e">
        <f>+H15/$H$17</f>
        <v>#DIV/0!</v>
      </c>
      <c r="K15" s="167" t="e">
        <f>+I15/H15</f>
        <v>#DIV/0!</v>
      </c>
    </row>
    <row r="16" spans="1:12" ht="15.6" customHeight="1" x14ac:dyDescent="0.3">
      <c r="A16" s="235"/>
      <c r="B16" s="235"/>
      <c r="C16" s="165" t="s">
        <v>24</v>
      </c>
      <c r="D16" s="139">
        <f>+Ventas!B10</f>
        <v>0</v>
      </c>
      <c r="E16" s="140">
        <f>+Ventas!C10</f>
        <v>0</v>
      </c>
      <c r="F16" s="141" t="e">
        <f>+D16/$D$17</f>
        <v>#DIV/0!</v>
      </c>
      <c r="G16" s="167" t="e">
        <f>+E16/D16</f>
        <v>#DIV/0!</v>
      </c>
      <c r="H16" s="139">
        <f>+Ventas!D10</f>
        <v>0</v>
      </c>
      <c r="I16" s="140">
        <f>+Ventas!E10</f>
        <v>0</v>
      </c>
      <c r="J16" s="141" t="e">
        <f>+H16/$H$17</f>
        <v>#DIV/0!</v>
      </c>
      <c r="K16" s="167" t="e">
        <f>+I16/H16</f>
        <v>#DIV/0!</v>
      </c>
    </row>
    <row r="17" spans="1:12" ht="18" customHeight="1" x14ac:dyDescent="0.35">
      <c r="A17" s="235"/>
      <c r="B17" s="235"/>
      <c r="C17" s="168" t="s">
        <v>25</v>
      </c>
      <c r="D17" s="169">
        <f>+D8+D15+D16</f>
        <v>0</v>
      </c>
      <c r="E17" s="170">
        <f>+E8+E18+E15+E16</f>
        <v>0</v>
      </c>
      <c r="F17" s="171" t="e">
        <f>+SUM(F14:F16)</f>
        <v>#DIV/0!</v>
      </c>
      <c r="G17" s="172" t="e">
        <f>+E17/D17</f>
        <v>#DIV/0!</v>
      </c>
      <c r="H17" s="169">
        <f>+H8+H15+H16</f>
        <v>0</v>
      </c>
      <c r="I17" s="170">
        <f>+I8+I18+I15+I16</f>
        <v>0</v>
      </c>
      <c r="J17" s="171" t="e">
        <f>+SUM(J14:J16)</f>
        <v>#DIV/0!</v>
      </c>
      <c r="K17" s="172" t="e">
        <f>+I17/H17</f>
        <v>#DIV/0!</v>
      </c>
    </row>
    <row r="18" spans="1:12" ht="16.2" customHeight="1" thickBot="1" x14ac:dyDescent="0.35">
      <c r="A18" s="236"/>
      <c r="B18" s="253"/>
      <c r="C18" s="173" t="s">
        <v>26</v>
      </c>
      <c r="D18" s="174">
        <f>+Ventas!B8</f>
        <v>0</v>
      </c>
      <c r="E18" s="175">
        <f>+Ventas!C8</f>
        <v>0</v>
      </c>
      <c r="F18" s="176" t="e">
        <f>+D18/($D$17+D18)</f>
        <v>#DIV/0!</v>
      </c>
      <c r="G18" s="177" t="e">
        <f>+E18/D18</f>
        <v>#DIV/0!</v>
      </c>
      <c r="H18" s="174">
        <f>+Ventas!D8</f>
        <v>0</v>
      </c>
      <c r="I18" s="175">
        <f>+Ventas!E8</f>
        <v>0</v>
      </c>
      <c r="J18" s="176" t="e">
        <f>+H18/($H$17+H18)</f>
        <v>#DIV/0!</v>
      </c>
      <c r="K18" s="177" t="e">
        <f>+I18/H18</f>
        <v>#DIV/0!</v>
      </c>
    </row>
    <row r="19" spans="1:12" ht="15" customHeight="1" thickBot="1" x14ac:dyDescent="0.35">
      <c r="A19" s="246" t="s">
        <v>27</v>
      </c>
      <c r="B19" s="237" t="s">
        <v>28</v>
      </c>
      <c r="C19" s="245"/>
      <c r="D19" s="219" t="s">
        <v>29</v>
      </c>
      <c r="E19" s="220"/>
      <c r="F19" s="219" t="s">
        <v>14</v>
      </c>
      <c r="G19" s="220"/>
      <c r="H19" s="219" t="s">
        <v>30</v>
      </c>
      <c r="I19" s="220"/>
      <c r="J19" s="223" t="s">
        <v>31</v>
      </c>
      <c r="K19" s="222"/>
      <c r="L19" s="138"/>
    </row>
    <row r="20" spans="1:12" x14ac:dyDescent="0.3">
      <c r="A20" s="235"/>
      <c r="B20" s="238"/>
      <c r="C20" s="225"/>
      <c r="D20" s="178" t="s">
        <v>4</v>
      </c>
      <c r="E20" s="178" t="s">
        <v>5</v>
      </c>
      <c r="F20" s="178" t="s">
        <v>4</v>
      </c>
      <c r="G20" s="178" t="s">
        <v>5</v>
      </c>
      <c r="H20" s="178" t="s">
        <v>4</v>
      </c>
      <c r="I20" s="178" t="s">
        <v>5</v>
      </c>
      <c r="J20" s="178" t="s">
        <v>4</v>
      </c>
      <c r="K20" s="178" t="s">
        <v>5</v>
      </c>
      <c r="L20" s="138"/>
    </row>
    <row r="21" spans="1:12" x14ac:dyDescent="0.3">
      <c r="A21" s="235"/>
      <c r="B21" s="238"/>
      <c r="C21" s="179" t="s">
        <v>32</v>
      </c>
      <c r="D21" s="180">
        <f>+COUNTIFS(Cartera!E:E,"Comercial",Cartera!F:F,'RESULTADOS MES'!C23,Cartera!G:G,"&gt;0")</f>
        <v>0</v>
      </c>
      <c r="E21" s="144">
        <f>SUMIFS(Cartera!G:G,Cartera!E:E,"Comercial",Cartera!F:F,'RESULTADOS MES'!C23,Cartera!G:G,"&gt;0")</f>
        <v>0</v>
      </c>
      <c r="F21" s="180">
        <f>+COUNTIFS(Cartera!E:E,"Comercial",Cartera!F:F,'RESULTADOS MES'!C23,Cartera!H:H,"&gt;0")</f>
        <v>0</v>
      </c>
      <c r="G21" s="144">
        <f>+SUMIFS(Cartera!H:H,Cartera!E:E,"Comercial",Cartera!F:F,'RESULTADOS MES'!C23,Cartera!H:H,"&gt;0")</f>
        <v>0</v>
      </c>
      <c r="H21" s="141" t="e">
        <f t="shared" ref="H21:H26" si="0">+F21/D21</f>
        <v>#DIV/0!</v>
      </c>
      <c r="I21" s="141" t="e">
        <f t="shared" ref="I21:I33" si="1">+G21/E21</f>
        <v>#DIV/0!</v>
      </c>
      <c r="J21" s="180">
        <f>COUNTIFS(PptoSiguiente!E:E,"Comercial",PptoSiguiente!F:F,'RESULTADOS MES'!C23,PptoSiguiente!G:G,"&gt;0")</f>
        <v>0</v>
      </c>
      <c r="K21" s="166">
        <f>SUMIFS(PptoSiguiente!G:G,PptoSiguiente!E:E,"Comercial",PptoSiguiente!F:F,'RESULTADOS MES'!C23,PptoSiguiente!G:G,"&gt;0")</f>
        <v>0</v>
      </c>
      <c r="L21" s="138"/>
    </row>
    <row r="22" spans="1:12" x14ac:dyDescent="0.3">
      <c r="A22" s="235"/>
      <c r="B22" s="238"/>
      <c r="C22" s="179" t="s">
        <v>33</v>
      </c>
      <c r="D22" s="180">
        <f>+COUNTIFS(Cartera!E:E,"Comercial",Cartera!F:F,'RESULTADOS MES'!C23,Cartera!I:I,"&gt;0")</f>
        <v>0</v>
      </c>
      <c r="E22" s="144">
        <f>SUMIFS(Cartera!I:I,Cartera!E:E,"Comercial",Cartera!F:F,'RESULTADOS MES'!C23,Cartera!I:I,"&gt;0")</f>
        <v>0</v>
      </c>
      <c r="F22" s="180">
        <f>+COUNTIFS(Cartera!E:E,"Comercial",Cartera!F:F,'RESULTADOS MES'!C23,Cartera!J:J,"&gt;0")</f>
        <v>0</v>
      </c>
      <c r="G22" s="144">
        <f>+SUMIFS(Cartera!J:J,Cartera!E:E,"Comercial",Cartera!F:F,'RESULTADOS MES'!C23,Cartera!J:J,"&gt;0")</f>
        <v>0</v>
      </c>
      <c r="H22" s="141" t="e">
        <f t="shared" si="0"/>
        <v>#DIV/0!</v>
      </c>
      <c r="I22" s="141" t="e">
        <f t="shared" si="1"/>
        <v>#DIV/0!</v>
      </c>
      <c r="J22" s="180">
        <f>+COUNTIFS(PptoSiguiente!E:E,"Comercial",PptoSiguiente!F:F,'RESULTADOS MES'!C23,PptoSiguiente!I:I,"&gt;0")</f>
        <v>0</v>
      </c>
      <c r="K22" s="166">
        <f>SUMIFS(PptoSiguiente!I:I,PptoSiguiente!E:E,"Comercial",PptoSiguiente!F:F,'RESULTADOS MES'!C23,PptoSiguiente!I:I,"&gt;0")</f>
        <v>0</v>
      </c>
      <c r="L22" s="138"/>
    </row>
    <row r="23" spans="1:12" x14ac:dyDescent="0.3">
      <c r="A23" s="235"/>
      <c r="B23" s="238"/>
      <c r="C23" s="181" t="s">
        <v>34</v>
      </c>
      <c r="D23" s="182">
        <f>+COUNTIFS(Cartera!E:E,"Comercial",Cartera!F:F,'RESULTADOS MES'!C23,Cartera!K:K,"&gt;0")</f>
        <v>0</v>
      </c>
      <c r="E23" s="183">
        <f>+SUBTOTAL(9,E21:E22)</f>
        <v>0</v>
      </c>
      <c r="F23" s="182">
        <f>+COUNTIFS(Cartera!E:E,"Comercial",Cartera!F:F,'RESULTADOS MES'!C23,Cartera!L:L,"&gt;0")</f>
        <v>0</v>
      </c>
      <c r="G23" s="183">
        <f>+SUBTOTAL(9,G21:G22)</f>
        <v>0</v>
      </c>
      <c r="H23" s="184" t="e">
        <f t="shared" si="0"/>
        <v>#DIV/0!</v>
      </c>
      <c r="I23" s="184" t="e">
        <f t="shared" si="1"/>
        <v>#DIV/0!</v>
      </c>
      <c r="J23" s="182">
        <f>+COUNTIFS(PptoSiguiente!E:E,"Comercial",PptoSiguiente!F:F,'RESULTADOS MES'!C23,PptoSiguiente!K:K,"&gt;0")</f>
        <v>0</v>
      </c>
      <c r="K23" s="183">
        <f>+SUBTOTAL(9,K21:K22)</f>
        <v>0</v>
      </c>
      <c r="L23" s="138"/>
    </row>
    <row r="24" spans="1:12" x14ac:dyDescent="0.3">
      <c r="A24" s="235"/>
      <c r="B24" s="238"/>
      <c r="C24" s="179" t="s">
        <v>32</v>
      </c>
      <c r="D24" s="180">
        <f>+COUNTIFS(Cartera!E:E,"Comercial",Cartera!F:F,'RESULTADOS MES'!C26,Cartera!G:G,"&gt;0")</f>
        <v>0</v>
      </c>
      <c r="E24" s="144">
        <f>SUMIFS(Cartera!G:G,Cartera!E:E,"Comercial",Cartera!F:F,'RESULTADOS MES'!C26,Cartera!G:G,"&gt;0")</f>
        <v>0</v>
      </c>
      <c r="F24" s="180">
        <f>+COUNTIFS(Cartera!E:E,"Comercial",Cartera!F:F,'RESULTADOS MES'!C26,Cartera!H:H,"&gt;0")</f>
        <v>0</v>
      </c>
      <c r="G24" s="144">
        <f>+SUMIFS(Cartera!H:H,Cartera!E:E,"Comercial",Cartera!F:F,'RESULTADOS MES'!C26,Cartera!H:H,"&gt;0")</f>
        <v>0</v>
      </c>
      <c r="H24" s="141" t="e">
        <f t="shared" si="0"/>
        <v>#DIV/0!</v>
      </c>
      <c r="I24" s="141" t="e">
        <f t="shared" si="1"/>
        <v>#DIV/0!</v>
      </c>
      <c r="J24" s="180">
        <f>+COUNTIFS(PptoSiguiente!E:E,"Comercial",PptoSiguiente!F:F,'RESULTADOS MES'!C26,PptoSiguiente!G:G,"&gt;0")</f>
        <v>0</v>
      </c>
      <c r="K24" s="166">
        <f>SUMIFS(PptoSiguiente!G:G,PptoSiguiente!E:E,"Comercial",PptoSiguiente!F:F,'RESULTADOS MES'!C26,PptoSiguiente!G:G,"&gt;0")</f>
        <v>0</v>
      </c>
      <c r="L24" s="138"/>
    </row>
    <row r="25" spans="1:12" x14ac:dyDescent="0.3">
      <c r="A25" s="235"/>
      <c r="B25" s="238"/>
      <c r="C25" s="179" t="s">
        <v>33</v>
      </c>
      <c r="D25" s="180">
        <f>+COUNTIFS(Cartera!E:E,"Comercial",Cartera!F:F,'RESULTADOS MES'!C26,Cartera!I:I,"&gt;0")</f>
        <v>0</v>
      </c>
      <c r="E25" s="144">
        <f>SUMIFS(Cartera!I:I,Cartera!E:E,"Comercial",Cartera!F:F,'RESULTADOS MES'!C26,Cartera!I:I,"&gt;0")</f>
        <v>0</v>
      </c>
      <c r="F25" s="180">
        <f>+COUNTIFS(Cartera!E:E,"Comercial",Cartera!F:F,'RESULTADOS MES'!C26,Cartera!J:J,"&gt;0")</f>
        <v>0</v>
      </c>
      <c r="G25" s="144">
        <f>+SUMIFS(Cartera!J:J,Cartera!E:E,"Comercial",Cartera!F:F,'RESULTADOS MES'!C26,Cartera!J:J,"&gt;0")</f>
        <v>0</v>
      </c>
      <c r="H25" s="141" t="e">
        <f t="shared" si="0"/>
        <v>#DIV/0!</v>
      </c>
      <c r="I25" s="141" t="e">
        <f t="shared" si="1"/>
        <v>#DIV/0!</v>
      </c>
      <c r="J25" s="180">
        <f>+COUNTIFS(PptoSiguiente!E:E,"Comercial",PptoSiguiente!F:F,'RESULTADOS MES'!C26,PptoSiguiente!I:I,"&gt;0")</f>
        <v>0</v>
      </c>
      <c r="K25" s="166">
        <f>SUMIFS(PptoSiguiente!I:I,PptoSiguiente!E:E,"Comercial",PptoSiguiente!F:F,'RESULTADOS MES'!C26,PptoSiguiente!I:I,"&gt;0")</f>
        <v>0</v>
      </c>
      <c r="L25" s="138"/>
    </row>
    <row r="26" spans="1:12" x14ac:dyDescent="0.3">
      <c r="A26" s="235"/>
      <c r="B26" s="238"/>
      <c r="C26" s="181" t="s">
        <v>35</v>
      </c>
      <c r="D26" s="182">
        <f>+COUNTIFS(Cartera!E:E,"Comercial",Cartera!F:F,'RESULTADOS MES'!C26,Cartera!K:K,"&gt;0")</f>
        <v>0</v>
      </c>
      <c r="E26" s="183">
        <f>+SUBTOTAL(9,E24:E25)</f>
        <v>0</v>
      </c>
      <c r="F26" s="182">
        <f>+COUNTIFS(Cartera!E:E,"Comercial",Cartera!F:F,'RESULTADOS MES'!C26,Cartera!L:L,"&gt;0")</f>
        <v>0</v>
      </c>
      <c r="G26" s="183">
        <f>+SUBTOTAL(9,G24:G25)</f>
        <v>0</v>
      </c>
      <c r="H26" s="184" t="e">
        <f t="shared" si="0"/>
        <v>#DIV/0!</v>
      </c>
      <c r="I26" s="184" t="e">
        <f t="shared" si="1"/>
        <v>#DIV/0!</v>
      </c>
      <c r="J26" s="182">
        <f>+COUNTIFS(PptoSiguiente!E:E,"Comercial",PptoSiguiente!F:F,'RESULTADOS MES'!C26,PptoSiguiente!K:K,"&gt;0")</f>
        <v>0</v>
      </c>
      <c r="K26" s="183">
        <f>+SUBTOTAL(9,K24:K25)</f>
        <v>0</v>
      </c>
      <c r="L26" s="138"/>
    </row>
    <row r="27" spans="1:12" s="106" customFormat="1" x14ac:dyDescent="0.3">
      <c r="A27" s="235"/>
      <c r="B27" s="238"/>
      <c r="C27" s="179" t="s">
        <v>32</v>
      </c>
      <c r="D27" s="180">
        <f>+COUNTIFS(Cartera!E:E,"Comercial",Cartera!F:F,'RESULTADOS MES'!C29,Cartera!G:G,"&gt;0",Cartera!C:C,"Aprobado")</f>
        <v>0</v>
      </c>
      <c r="E27" s="144">
        <f>SUMIFS(Cartera!G:G,Cartera!E:E,"Comercial",Cartera!F:F,'RESULTADOS MES'!C29,Cartera!G:G,"&gt;0",Cartera!C:C,"Aprobado")</f>
        <v>0</v>
      </c>
      <c r="F27" s="180">
        <f>+COUNTIFS(Cartera!E:E,"Comercial",Cartera!F:F,'RESULTADOS MES'!C29,Cartera!H:H,"&gt;0",Cartera!C:C,"Aprobado")</f>
        <v>0</v>
      </c>
      <c r="G27" s="144">
        <f>+SUMIFS(Cartera!H:H,Cartera!E:E,"Comercial",Cartera!F:F,'RESULTADOS MES'!C29,Cartera!H:H,"&gt;0",Cartera!C:C,"Aprobado")</f>
        <v>0</v>
      </c>
      <c r="H27" s="141" t="e">
        <f t="shared" ref="H27:I29" si="2">+F27/D27</f>
        <v>#DIV/0!</v>
      </c>
      <c r="I27" s="141" t="e">
        <f t="shared" si="2"/>
        <v>#DIV/0!</v>
      </c>
      <c r="J27" s="180">
        <f>+COUNTIFS(PptoSiguiente!E:E,"Comercial",PptoSiguiente!F:F,'RESULTADOS MES'!C29,PptoSiguiente!G:G,"&gt;0",Cartera!C:C,"Aprobado")</f>
        <v>0</v>
      </c>
      <c r="K27" s="166">
        <f>SUMIFS(PptoSiguiente!G:G,PptoSiguiente!E:E,"Comercial",PptoSiguiente!F:F,'RESULTADOS MES'!C29,PptoSiguiente!G:G,"&gt;0",Cartera!C:C,"Aprobado")</f>
        <v>0</v>
      </c>
      <c r="L27" s="138"/>
    </row>
    <row r="28" spans="1:12" s="106" customFormat="1" x14ac:dyDescent="0.3">
      <c r="A28" s="235"/>
      <c r="B28" s="238"/>
      <c r="C28" s="179" t="s">
        <v>33</v>
      </c>
      <c r="D28" s="180">
        <f>+COUNTIFS(Cartera!E:E,"Comercial",Cartera!F:F,'RESULTADOS MES'!C29,Cartera!I:I,"&gt;0",Cartera!C:C,"Aprobado")</f>
        <v>0</v>
      </c>
      <c r="E28" s="144">
        <f>SUMIFS(Cartera!I:I,Cartera!E:E,"Comercial",Cartera!F:F,'RESULTADOS MES'!C29,Cartera!I:I,"&gt;0",Cartera!C:C,"Aprobado")</f>
        <v>0</v>
      </c>
      <c r="F28" s="180">
        <f>+COUNTIFS(Cartera!E:E,"Comercial",Cartera!F:F,'RESULTADOS MES'!C29,Cartera!J:J,"&gt;0",Cartera!C:C,"Aprobado")</f>
        <v>0</v>
      </c>
      <c r="G28" s="144">
        <f>+SUMIFS(Cartera!J:J,Cartera!E:E,"Comercial",Cartera!F:F,'RESULTADOS MES'!C29,Cartera!J:J,"&gt;0",Cartera!C:C,"Aprobado")</f>
        <v>0</v>
      </c>
      <c r="H28" s="141" t="e">
        <f t="shared" si="2"/>
        <v>#DIV/0!</v>
      </c>
      <c r="I28" s="141" t="e">
        <f t="shared" si="2"/>
        <v>#DIV/0!</v>
      </c>
      <c r="J28" s="180">
        <f>+COUNTIFS(PptoSiguiente!E:E,"Comercial",PptoSiguiente!F:F,'RESULTADOS MES'!C29,PptoSiguiente!I:I,"&gt;0",Cartera!C:C,"Aprobado")</f>
        <v>0</v>
      </c>
      <c r="K28" s="166">
        <f>SUMIFS(PptoSiguiente!I:I,PptoSiguiente!E:E,"Comercial",PptoSiguiente!F:F,'RESULTADOS MES'!C29,PptoSiguiente!I:I,"&gt;0",Cartera!C:C,"Aprobado")</f>
        <v>0</v>
      </c>
      <c r="L28" s="138"/>
    </row>
    <row r="29" spans="1:12" s="106" customFormat="1" x14ac:dyDescent="0.3">
      <c r="A29" s="235"/>
      <c r="B29" s="238"/>
      <c r="C29" s="181" t="s">
        <v>36</v>
      </c>
      <c r="D29" s="182">
        <f>+COUNTIFS(Cartera!E:E,"Comercial",Cartera!F:F,'RESULTADOS MES'!C29,Cartera!K:K,"&gt;0",Cartera!C:C,"Aprobado")</f>
        <v>0</v>
      </c>
      <c r="E29" s="183">
        <f>+SUBTOTAL(9,E27:E28)</f>
        <v>0</v>
      </c>
      <c r="F29" s="182">
        <f>+COUNTIFS(Cartera!E:E,"Comercial",Cartera!F:F,'RESULTADOS MES'!C29,Cartera!L:L,"&gt;0",Cartera!C:C,"Aprobado")</f>
        <v>0</v>
      </c>
      <c r="G29" s="183">
        <f>+SUBTOTAL(9,G27:G28)</f>
        <v>0</v>
      </c>
      <c r="H29" s="184" t="e">
        <f t="shared" si="2"/>
        <v>#DIV/0!</v>
      </c>
      <c r="I29" s="184" t="e">
        <f t="shared" si="2"/>
        <v>#DIV/0!</v>
      </c>
      <c r="J29" s="182">
        <f>+COUNTIFS(PptoSiguiente!E:E,"Comercial",PptoSiguiente!F:F,'RESULTADOS MES'!C29,PptoSiguiente!K:K,"&gt;0",Cartera!C:C,"Aprobado")</f>
        <v>0</v>
      </c>
      <c r="K29" s="183">
        <f>+SUBTOTAL(9,K27:K28)</f>
        <v>0</v>
      </c>
      <c r="L29" s="138"/>
    </row>
    <row r="30" spans="1:12" x14ac:dyDescent="0.3">
      <c r="A30" s="235"/>
      <c r="B30" s="238"/>
      <c r="C30" s="179" t="s">
        <v>32</v>
      </c>
      <c r="D30" s="180">
        <f>+COUNTIFS(Cartera!E:E,"Comercial",Cartera!F:F,"Juridico",Cartera!G:G,"&gt;0",Cartera!C:C,"Aprobado")</f>
        <v>0</v>
      </c>
      <c r="E30" s="144">
        <f>+SUMIFS(Cartera!G:G,Cartera!E:E,"Comercial",Cartera!F:F,"Juridico",Cartera!G:G,"&gt;0",Cartera!C:C,"Aprobado")</f>
        <v>0</v>
      </c>
      <c r="F30" s="180">
        <f>+COUNTIFS(Cartera!E:E,"Comercial",Cartera!F:F,"Juridico",Cartera!H:H,"&gt;0",Cartera!C:C,"Aprobado")</f>
        <v>0</v>
      </c>
      <c r="G30" s="144">
        <f>+SUMIFS(Cartera!H:H,Cartera!E:E,"Comercial",Cartera!F:F,"Juridico",Cartera!H:H,"&gt;0",Cartera!C:C,"Aprobado")</f>
        <v>0</v>
      </c>
      <c r="H30" s="141" t="e">
        <f t="shared" ref="H30:H32" si="3">+F30/D30</f>
        <v>#DIV/0!</v>
      </c>
      <c r="I30" s="141" t="e">
        <f t="shared" ref="I30:I32" si="4">+G30/E30</f>
        <v>#DIV/0!</v>
      </c>
      <c r="J30" s="180">
        <f>+COUNTIFS(PptoSiguiente!E:E,"Comercial",PptoSiguiente!F:F,"Juridico",PptoSiguiente!G:G,"&gt;0",PptoSiguiente!C:C,"Aprobado")</f>
        <v>0</v>
      </c>
      <c r="K30" s="166">
        <f>+SUMIFS(PptoSiguiente!G:G,PptoSiguiente!E:E,"Comercial",PptoSiguiente!F:F,"Juridico",PptoSiguiente!G:G,"&gt;0",Cartera!C:C,"Aprobado")</f>
        <v>0</v>
      </c>
      <c r="L30" s="138"/>
    </row>
    <row r="31" spans="1:12" x14ac:dyDescent="0.3">
      <c r="A31" s="235"/>
      <c r="B31" s="238"/>
      <c r="C31" s="179" t="s">
        <v>33</v>
      </c>
      <c r="D31" s="180">
        <f>+COUNTIFS(Cartera!E:E,"Comercial",Cartera!F:F,"Juridico",Cartera!I:I,"&gt;0",Cartera!C:C,"Aprobado")</f>
        <v>0</v>
      </c>
      <c r="E31" s="144">
        <f>+SUMIFS(Cartera!I:I,Cartera!E:E,"Comercial",Cartera!F:F,"Juridico",Cartera!I:I,"&gt;0",Cartera!C:C,"Aprobado")</f>
        <v>0</v>
      </c>
      <c r="F31" s="180">
        <f>+COUNTIFS(Cartera!E:E,"Comercial",Cartera!F:F,"Juridico",Cartera!J:J,"&gt;0",Cartera!C:C,"Aprobado")</f>
        <v>0</v>
      </c>
      <c r="G31" s="144">
        <f>+SUMIFS(Cartera!J:J,Cartera!E:E,"Comercial",Cartera!F:F,"Juridico",Cartera!J:J,"&gt;0",Cartera!C:C,"Aprobado")</f>
        <v>0</v>
      </c>
      <c r="H31" s="141" t="e">
        <f t="shared" si="3"/>
        <v>#DIV/0!</v>
      </c>
      <c r="I31" s="141" t="e">
        <f t="shared" si="4"/>
        <v>#DIV/0!</v>
      </c>
      <c r="J31" s="180">
        <f>+COUNTIFS(PptoSiguiente!E:E,"Comercial",PptoSiguiente!F:F,"Juridico",PptoSiguiente!I:I,"&gt;0",PptoSiguiente!C:C,"Aprobado")</f>
        <v>0</v>
      </c>
      <c r="K31" s="166">
        <f>+SUMIFS(PptoSiguiente!I:I,PptoSiguiente!E:E,"Comercial",PptoSiguiente!F:F,"Juridico",PptoSiguiente!I:I,"&gt;0",Cartera!C:C,"Aprobado")</f>
        <v>0</v>
      </c>
      <c r="L31" s="138"/>
    </row>
    <row r="32" spans="1:12" x14ac:dyDescent="0.3">
      <c r="A32" s="235"/>
      <c r="B32" s="238"/>
      <c r="C32" s="181" t="s">
        <v>445</v>
      </c>
      <c r="D32" s="182">
        <f>+COUNTIFS(Cartera!E:E,"Comercial",Cartera!F:F,"Juridico",Cartera!K:K,"&gt;0",Cartera!C:C,"Aprobado")</f>
        <v>0</v>
      </c>
      <c r="E32" s="183">
        <f>+SUBTOTAL(9,E30:E31)</f>
        <v>0</v>
      </c>
      <c r="F32" s="182">
        <f>+COUNTIFS(Cartera!E:E,"Comercial",Cartera!F:F,"Juridico",Cartera!L:L,"&gt;0",Cartera!C:C,"Aprobado")</f>
        <v>0</v>
      </c>
      <c r="G32" s="183">
        <f>+SUBTOTAL(9,G30:G31)</f>
        <v>0</v>
      </c>
      <c r="H32" s="184" t="e">
        <f t="shared" si="3"/>
        <v>#DIV/0!</v>
      </c>
      <c r="I32" s="184" t="e">
        <f t="shared" si="4"/>
        <v>#DIV/0!</v>
      </c>
      <c r="J32" s="182">
        <f>+COUNTIFS(PptoSiguiente!E:E,"Comercial",PptoSiguiente!F:F,"Juridico",PptoSiguiente!K:K,"&gt;0",PptoSiguiente!C:C,"Aprobado")</f>
        <v>0</v>
      </c>
      <c r="K32" s="183">
        <f>+SUBTOTAL(9,K30:K31)</f>
        <v>0</v>
      </c>
      <c r="L32" s="138"/>
    </row>
    <row r="33" spans="1:12" ht="16.5" customHeight="1" x14ac:dyDescent="0.3">
      <c r="A33" s="235"/>
      <c r="B33" s="238"/>
      <c r="C33" s="185" t="s">
        <v>37</v>
      </c>
      <c r="D33" s="178">
        <f>+D23+D26+D29+D32</f>
        <v>0</v>
      </c>
      <c r="E33" s="186">
        <f>+SUBTOTAL(9,E21:E32)</f>
        <v>0</v>
      </c>
      <c r="F33" s="178">
        <f>+F23+F26+F29+F32</f>
        <v>0</v>
      </c>
      <c r="G33" s="186">
        <f>+SUBTOTAL(9,G21:G32)</f>
        <v>0</v>
      </c>
      <c r="H33" s="187" t="e">
        <f>+F33/D33</f>
        <v>#DIV/0!</v>
      </c>
      <c r="I33" s="187" t="e">
        <f t="shared" si="1"/>
        <v>#DIV/0!</v>
      </c>
      <c r="J33" s="178">
        <f>+J23+J26+J29</f>
        <v>0</v>
      </c>
      <c r="K33" s="186">
        <f>+SUBTOTAL(9,K21:K29)</f>
        <v>0</v>
      </c>
      <c r="L33" s="138"/>
    </row>
    <row r="34" spans="1:12" ht="16.5" customHeight="1" x14ac:dyDescent="0.35">
      <c r="A34" s="235"/>
      <c r="B34" s="238"/>
      <c r="C34" s="185" t="s">
        <v>38</v>
      </c>
      <c r="D34" s="224">
        <f>+G33</f>
        <v>0</v>
      </c>
      <c r="E34" s="225"/>
      <c r="F34" s="188" t="e">
        <f>+D34/D36</f>
        <v>#DIV/0!</v>
      </c>
      <c r="G34" s="186"/>
      <c r="H34" s="187"/>
      <c r="I34" s="187"/>
      <c r="J34" s="178"/>
      <c r="K34" s="186"/>
      <c r="L34" s="138"/>
    </row>
    <row r="35" spans="1:12" ht="17.25" customHeight="1" x14ac:dyDescent="0.35">
      <c r="A35" s="235"/>
      <c r="B35" s="238"/>
      <c r="C35" s="185" t="s">
        <v>39</v>
      </c>
      <c r="D35" s="224">
        <f>+SUMIFS(Cartera!M:M,Cartera!E:E,"Comercial")</f>
        <v>0</v>
      </c>
      <c r="E35" s="225"/>
      <c r="F35" s="188" t="e">
        <f>+D35/D36</f>
        <v>#DIV/0!</v>
      </c>
      <c r="G35" s="189"/>
      <c r="H35" s="189"/>
      <c r="I35" s="189"/>
      <c r="J35" s="189"/>
      <c r="K35" s="190"/>
      <c r="L35" s="138"/>
    </row>
    <row r="36" spans="1:12" s="97" customFormat="1" ht="18.600000000000001" customHeight="1" thickBot="1" x14ac:dyDescent="0.4">
      <c r="A36" s="235"/>
      <c r="B36" s="239"/>
      <c r="C36" s="191" t="s">
        <v>40</v>
      </c>
      <c r="D36" s="224">
        <f>+D35+G33</f>
        <v>0</v>
      </c>
      <c r="E36" s="232"/>
      <c r="F36" s="192" t="e">
        <f>+F34+F35</f>
        <v>#DIV/0!</v>
      </c>
      <c r="G36" s="226" t="s">
        <v>447</v>
      </c>
      <c r="H36" s="226"/>
      <c r="I36" s="226"/>
      <c r="J36" s="227">
        <f>+SUMIFS(CarteraHistorico!N:N,CarteraHistorico!E:E,"Comercial")</f>
        <v>0</v>
      </c>
      <c r="K36" s="227"/>
      <c r="L36" s="200"/>
    </row>
    <row r="37" spans="1:12" ht="14.4" customHeight="1" thickBot="1" x14ac:dyDescent="0.35">
      <c r="A37" s="235"/>
      <c r="B37" s="237" t="s">
        <v>41</v>
      </c>
      <c r="C37" s="245"/>
      <c r="D37" s="219" t="s">
        <v>42</v>
      </c>
      <c r="E37" s="220"/>
      <c r="F37" s="219" t="s">
        <v>14</v>
      </c>
      <c r="G37" s="220"/>
      <c r="H37" s="219" t="s">
        <v>30</v>
      </c>
      <c r="I37" s="220"/>
      <c r="J37" s="223" t="s">
        <v>31</v>
      </c>
      <c r="K37" s="222"/>
      <c r="L37" s="138"/>
    </row>
    <row r="38" spans="1:12" x14ac:dyDescent="0.3">
      <c r="A38" s="235"/>
      <c r="B38" s="238"/>
      <c r="C38" s="225"/>
      <c r="D38" s="178" t="s">
        <v>4</v>
      </c>
      <c r="E38" s="178" t="s">
        <v>5</v>
      </c>
      <c r="F38" s="178" t="s">
        <v>4</v>
      </c>
      <c r="G38" s="178" t="s">
        <v>5</v>
      </c>
      <c r="H38" s="178" t="s">
        <v>4</v>
      </c>
      <c r="I38" s="178" t="s">
        <v>5</v>
      </c>
      <c r="J38" s="178" t="s">
        <v>4</v>
      </c>
      <c r="K38" s="193" t="s">
        <v>5</v>
      </c>
      <c r="L38" s="138"/>
    </row>
    <row r="39" spans="1:12" x14ac:dyDescent="0.3">
      <c r="A39" s="235"/>
      <c r="B39" s="238"/>
      <c r="C39" s="179" t="s">
        <v>32</v>
      </c>
      <c r="D39" s="180">
        <f>+COUNTIFS(Cartera!E:E,"Administrativa",Cartera!F:F,'RESULTADOS MES'!C41,Cartera!G:G,"&gt;0")</f>
        <v>0</v>
      </c>
      <c r="E39" s="144">
        <f>SUMIFS(Cartera!G:G,Cartera!E:E,"Administrativa",Cartera!F:F,'RESULTADOS MES'!C41,Cartera!G:G,"&gt;0")</f>
        <v>0</v>
      </c>
      <c r="F39" s="180">
        <f>+COUNTIFS(Cartera!E:E,"Administrativa",Cartera!F:F,'RESULTADOS MES'!C41,Cartera!H:H,"&gt;0")</f>
        <v>0</v>
      </c>
      <c r="G39" s="144">
        <f>+SUMIFS(Cartera!H:H,Cartera!E:E,"Administrativa",Cartera!F:F,'RESULTADOS MES'!C41)</f>
        <v>0</v>
      </c>
      <c r="H39" s="141" t="e">
        <f t="shared" ref="H39:H48" si="5">+F39/D39</f>
        <v>#DIV/0!</v>
      </c>
      <c r="I39" s="141" t="e">
        <f t="shared" ref="I39:I48" si="6">+G39/E39</f>
        <v>#DIV/0!</v>
      </c>
      <c r="J39" s="180">
        <f>COUNTIFS(PptoSiguiente!E:E,"Administrativa",PptoSiguiente!F:F,'RESULTADOS MES'!C41,PptoSiguiente!G:G,"&gt;0")</f>
        <v>0</v>
      </c>
      <c r="K39" s="166">
        <f>SUMIFS(PptoSiguiente!G:G,PptoSiguiente!E:E,"Administrativa",PptoSiguiente!F:F,'RESULTADOS MES'!C41,PptoSiguiente!G:G,"&gt;0")</f>
        <v>0</v>
      </c>
      <c r="L39" s="138"/>
    </row>
    <row r="40" spans="1:12" x14ac:dyDescent="0.3">
      <c r="A40" s="235"/>
      <c r="B40" s="238"/>
      <c r="C40" s="179" t="s">
        <v>33</v>
      </c>
      <c r="D40" s="180">
        <f>+COUNTIFS(Cartera!E:E,"Administrativa",Cartera!F:F,'RESULTADOS MES'!C41,Cartera!I:I,"&gt;0")</f>
        <v>0</v>
      </c>
      <c r="E40" s="144">
        <f>SUMIFS(Cartera!I:I,Cartera!E:E,"Administrativa",Cartera!F:F,'RESULTADOS MES'!C41,Cartera!I:I,"&gt;0")</f>
        <v>0</v>
      </c>
      <c r="F40" s="180">
        <f>+COUNTIFS(Cartera!E:E,"Administrativa",Cartera!F:F,'RESULTADOS MES'!C41,Cartera!J:J,"&gt;0")</f>
        <v>0</v>
      </c>
      <c r="G40" s="144">
        <f>+SUMIFS(Cartera!J:J,Cartera!E:E,"Administrativa",Cartera!F:F,'RESULTADOS MES'!C41)</f>
        <v>0</v>
      </c>
      <c r="H40" s="141" t="e">
        <f t="shared" si="5"/>
        <v>#DIV/0!</v>
      </c>
      <c r="I40" s="141" t="e">
        <f t="shared" si="6"/>
        <v>#DIV/0!</v>
      </c>
      <c r="J40" s="180">
        <f>+COUNTIFS(PptoSiguiente!E:E,"Administrativa",PptoSiguiente!F:F,'RESULTADOS MES'!C41,PptoSiguiente!I:I,"&gt;0")</f>
        <v>0</v>
      </c>
      <c r="K40" s="166">
        <f>SUMIFS(PptoSiguiente!I:I,PptoSiguiente!E:E,"Administrativa",PptoSiguiente!F:F,'RESULTADOS MES'!C41,PptoSiguiente!I:I,"&gt;0")</f>
        <v>0</v>
      </c>
      <c r="L40" s="138"/>
    </row>
    <row r="41" spans="1:12" s="91" customFormat="1" ht="18" customHeight="1" x14ac:dyDescent="0.35">
      <c r="A41" s="235"/>
      <c r="B41" s="238"/>
      <c r="C41" s="181" t="s">
        <v>34</v>
      </c>
      <c r="D41" s="182">
        <f>+COUNTIFS(Cartera!E:E,"Administrativa",Cartera!F:F,'RESULTADOS MES'!C41,Cartera!K:K,"&gt;0")</f>
        <v>0</v>
      </c>
      <c r="E41" s="183">
        <f>+SUBTOTAL(9,E39:E40)</f>
        <v>0</v>
      </c>
      <c r="F41" s="182">
        <f>+COUNTIFS(Cartera!E:E,"Administrativa",Cartera!F:F,'RESULTADOS MES'!C41,Cartera!L:L,"&gt;0")</f>
        <v>0</v>
      </c>
      <c r="G41" s="183">
        <f>+SUBTOTAL(9,G39:G40)</f>
        <v>0</v>
      </c>
      <c r="H41" s="184" t="e">
        <f t="shared" si="5"/>
        <v>#DIV/0!</v>
      </c>
      <c r="I41" s="184" t="e">
        <f t="shared" si="6"/>
        <v>#DIV/0!</v>
      </c>
      <c r="J41" s="182">
        <f>+COUNTIFS(PptoSiguiente!E:E,"Administrativa",PptoSiguiente!F:F,'RESULTADOS MES'!C41,PptoSiguiente!K:K,"&gt;0")</f>
        <v>0</v>
      </c>
      <c r="K41" s="183">
        <f>+SUBTOTAL(9,K39:K40)</f>
        <v>0</v>
      </c>
      <c r="L41" s="168"/>
    </row>
    <row r="42" spans="1:12" x14ac:dyDescent="0.3">
      <c r="A42" s="235"/>
      <c r="B42" s="238"/>
      <c r="C42" s="179" t="s">
        <v>32</v>
      </c>
      <c r="D42" s="180">
        <f>+COUNTIFS(Cartera!E:E,"Administrativa",Cartera!F:F,'RESULTADOS MES'!C44,Cartera!G:G,"&gt;0")</f>
        <v>0</v>
      </c>
      <c r="E42" s="144">
        <f>SUMIFS(Cartera!G:G,Cartera!E:E,"Administrativa",Cartera!F:F,'RESULTADOS MES'!C44,Cartera!G:G,"&gt;0")</f>
        <v>0</v>
      </c>
      <c r="F42" s="180">
        <f>+COUNTIFS(Cartera!E:E,"Administrativa",Cartera!F:F,'RESULTADOS MES'!C44,Cartera!H:H,"&gt;0")</f>
        <v>0</v>
      </c>
      <c r="G42" s="144">
        <f>+SUMIFS(Cartera!H:H,Cartera!E:E,"Administrativa",Cartera!F:F,'RESULTADOS MES'!C44)</f>
        <v>0</v>
      </c>
      <c r="H42" s="141" t="e">
        <f t="shared" si="5"/>
        <v>#DIV/0!</v>
      </c>
      <c r="I42" s="141" t="e">
        <f t="shared" si="6"/>
        <v>#DIV/0!</v>
      </c>
      <c r="J42" s="180">
        <f>+COUNTIFS(PptoSiguiente!E:E,"Administrativa",PptoSiguiente!F:F,'RESULTADOS MES'!C44,PptoSiguiente!G:G,"&gt;0")</f>
        <v>0</v>
      </c>
      <c r="K42" s="166">
        <f>SUMIFS(PptoSiguiente!G:G,PptoSiguiente!E:E,"Administrativa",PptoSiguiente!F:F,'RESULTADOS MES'!C44,PptoSiguiente!G:G,"&gt;0")</f>
        <v>0</v>
      </c>
      <c r="L42" s="138"/>
    </row>
    <row r="43" spans="1:12" s="91" customFormat="1" ht="18.600000000000001" customHeight="1" x14ac:dyDescent="0.35">
      <c r="A43" s="235"/>
      <c r="B43" s="238"/>
      <c r="C43" s="179" t="s">
        <v>33</v>
      </c>
      <c r="D43" s="180">
        <f>+COUNTIFS(Cartera!E:E,"Administrativa",Cartera!F:F,'RESULTADOS MES'!C44,Cartera!I:I,"&gt;0")</f>
        <v>0</v>
      </c>
      <c r="E43" s="144">
        <f>SUMIFS(Cartera!I:I,Cartera!E:E,"Administrativa",Cartera!F:F,'RESULTADOS MES'!C44,Cartera!I:I,"&gt;0")</f>
        <v>0</v>
      </c>
      <c r="F43" s="180">
        <f>+COUNTIFS(Cartera!E:E,"Administrativa",Cartera!F:F,'RESULTADOS MES'!C44,Cartera!J:J,"&gt;0")</f>
        <v>0</v>
      </c>
      <c r="G43" s="144">
        <f>+SUMIFS(Cartera!J:J,Cartera!E:E,"Administrativa",Cartera!F:F,'RESULTADOS MES'!C44)</f>
        <v>0</v>
      </c>
      <c r="H43" s="141" t="e">
        <f t="shared" si="5"/>
        <v>#DIV/0!</v>
      </c>
      <c r="I43" s="141" t="e">
        <f t="shared" si="6"/>
        <v>#DIV/0!</v>
      </c>
      <c r="J43" s="180">
        <f>+COUNTIFS(PptoSiguiente!E:E,"Administrativa",PptoSiguiente!F:F,'RESULTADOS MES'!C44,PptoSiguiente!I:I,"&gt;0")</f>
        <v>0</v>
      </c>
      <c r="K43" s="166">
        <f>SUMIFS(PptoSiguiente!I:I,PptoSiguiente!E:E,"Administrativa",PptoSiguiente!F:F,'RESULTADOS MES'!C44,PptoSiguiente!I:I,"&gt;0")</f>
        <v>0</v>
      </c>
      <c r="L43" s="168"/>
    </row>
    <row r="44" spans="1:12" ht="15" customHeight="1" x14ac:dyDescent="0.3">
      <c r="A44" s="235"/>
      <c r="B44" s="238"/>
      <c r="C44" s="181" t="s">
        <v>35</v>
      </c>
      <c r="D44" s="182">
        <f>+COUNTIFS(Cartera!E:E,"Administrativa",Cartera!F:F,'RESULTADOS MES'!C44,Cartera!K:K,"&gt;0")</f>
        <v>0</v>
      </c>
      <c r="E44" s="183">
        <f>+SUBTOTAL(9,E42:E43)</f>
        <v>0</v>
      </c>
      <c r="F44" s="182">
        <f>+COUNTIFS(Cartera!E:E,"Administrativa",Cartera!F:F,'RESULTADOS MES'!C44,Cartera!L:L,"&gt;0")</f>
        <v>0</v>
      </c>
      <c r="G44" s="183">
        <f>+SUBTOTAL(9,G42:G43)</f>
        <v>0</v>
      </c>
      <c r="H44" s="184" t="e">
        <f t="shared" si="5"/>
        <v>#DIV/0!</v>
      </c>
      <c r="I44" s="184" t="e">
        <f t="shared" si="6"/>
        <v>#DIV/0!</v>
      </c>
      <c r="J44" s="182">
        <f>+COUNTIFS(PptoSiguiente!E:E,"Administrativa",PptoSiguiente!F:F,'RESULTADOS MES'!C44,PptoSiguiente!K:K,"&gt;0")</f>
        <v>0</v>
      </c>
      <c r="K44" s="183">
        <f>+SUBTOTAL(9,K42:K43)</f>
        <v>0</v>
      </c>
      <c r="L44" s="138"/>
    </row>
    <row r="45" spans="1:12" ht="15" customHeight="1" x14ac:dyDescent="0.3">
      <c r="A45" s="235"/>
      <c r="B45" s="238"/>
      <c r="C45" s="179" t="s">
        <v>32</v>
      </c>
      <c r="D45" s="180">
        <f>+COUNTIFS(Cartera!E:E,"Administrativa",Cartera!F:F,'RESULTADOS MES'!C47,Cartera!G:G,"&gt;0")</f>
        <v>0</v>
      </c>
      <c r="E45" s="144">
        <f>SUMIFS(Cartera!G:G,Cartera!E:E,"Administrativa",Cartera!F:F,'RESULTADOS MES'!C47,Cartera!G:G,"&gt;0")</f>
        <v>0</v>
      </c>
      <c r="F45" s="180">
        <f>+COUNTIFS(Cartera!E:E,"Administrativa",Cartera!F:F,'RESULTADOS MES'!C47,Cartera!H:H,"&gt;0")</f>
        <v>0</v>
      </c>
      <c r="G45" s="144">
        <f>+SUMIFS(Cartera!H:H,Cartera!E:E,"Administrativa",Cartera!F:F,'RESULTADOS MES'!C47)</f>
        <v>0</v>
      </c>
      <c r="H45" s="141" t="e">
        <f t="shared" si="5"/>
        <v>#DIV/0!</v>
      </c>
      <c r="I45" s="141" t="e">
        <f t="shared" si="6"/>
        <v>#DIV/0!</v>
      </c>
      <c r="J45" s="180">
        <f>+COUNTIFS(PptoSiguiente!E:E,"Administrativa",PptoSiguiente!F:F,'RESULTADOS MES'!C47,PptoSiguiente!G:G,"&gt;0")</f>
        <v>0</v>
      </c>
      <c r="K45" s="166">
        <f>SUMIFS(PptoSiguiente!G:G,PptoSiguiente!E:E,"Administrativa",PptoSiguiente!F:F,'RESULTADOS MES'!C47,PptoSiguiente!G:G,"&gt;0")</f>
        <v>0</v>
      </c>
      <c r="L45" s="138"/>
    </row>
    <row r="46" spans="1:12" ht="15" customHeight="1" x14ac:dyDescent="0.3">
      <c r="A46" s="235"/>
      <c r="B46" s="238"/>
      <c r="C46" s="179" t="s">
        <v>33</v>
      </c>
      <c r="D46" s="180">
        <f>+COUNTIFS(Cartera!E:E,"Administrativa",Cartera!F:F,'RESULTADOS MES'!C47,Cartera!I:I,"&gt;0")</f>
        <v>0</v>
      </c>
      <c r="E46" s="144">
        <f>SUMIFS(Cartera!I:I,Cartera!E:E,"Administrativa",Cartera!F:F,'RESULTADOS MES'!C47,Cartera!I:I,"&gt;0")</f>
        <v>0</v>
      </c>
      <c r="F46" s="180">
        <f>+COUNTIFS(Cartera!E:E,"Administrativa",Cartera!F:F,'RESULTADOS MES'!C47,Cartera!J:J,"&gt;0")</f>
        <v>0</v>
      </c>
      <c r="G46" s="144">
        <f>+SUMIFS(Cartera!J:J,Cartera!E:E,"Administrativa",Cartera!F:F,'RESULTADOS MES'!C47)</f>
        <v>0</v>
      </c>
      <c r="H46" s="141" t="e">
        <f t="shared" si="5"/>
        <v>#DIV/0!</v>
      </c>
      <c r="I46" s="141" t="e">
        <f t="shared" si="6"/>
        <v>#DIV/0!</v>
      </c>
      <c r="J46" s="180">
        <f>+COUNTIFS(PptoSiguiente!E:E,"Administrativa",PptoSiguiente!F:F,'RESULTADOS MES'!C47,PptoSiguiente!I:I,"&gt;0")</f>
        <v>0</v>
      </c>
      <c r="K46" s="166">
        <f>SUMIFS(PptoSiguiente!I:I,PptoSiguiente!E:E,"Administrativa",PptoSiguiente!F:F,'RESULTADOS MES'!C47,PptoSiguiente!I:I,"&gt;0")</f>
        <v>0</v>
      </c>
      <c r="L46" s="138"/>
    </row>
    <row r="47" spans="1:12" ht="15" customHeight="1" x14ac:dyDescent="0.3">
      <c r="A47" s="235"/>
      <c r="B47" s="238"/>
      <c r="C47" s="181" t="s">
        <v>36</v>
      </c>
      <c r="D47" s="182">
        <f>+COUNTIFS(Cartera!E:E,"Administrativa",Cartera!F:F,'RESULTADOS MES'!C47,Cartera!K:K,"&gt;0")</f>
        <v>0</v>
      </c>
      <c r="E47" s="183">
        <f>+SUBTOTAL(9,E45:E46)</f>
        <v>0</v>
      </c>
      <c r="F47" s="182">
        <f>+COUNTIFS(Cartera!E:E,"Administrativa",Cartera!F:F,'RESULTADOS MES'!C47,Cartera!L:L,"&gt;0")</f>
        <v>0</v>
      </c>
      <c r="G47" s="183">
        <f>+SUBTOTAL(9,G45:G46)</f>
        <v>0</v>
      </c>
      <c r="H47" s="184" t="e">
        <f t="shared" si="5"/>
        <v>#DIV/0!</v>
      </c>
      <c r="I47" s="184" t="e">
        <f t="shared" si="6"/>
        <v>#DIV/0!</v>
      </c>
      <c r="J47" s="182">
        <f>+COUNTIFS(PptoSiguiente!E:E,"Administrativa",PptoSiguiente!F:F,'RESULTADOS MES'!C47,PptoSiguiente!K:K,"&gt;0")</f>
        <v>0</v>
      </c>
      <c r="K47" s="183">
        <f>+SUBTOTAL(9,K45:K46)</f>
        <v>0</v>
      </c>
      <c r="L47" s="138"/>
    </row>
    <row r="48" spans="1:12" s="97" customFormat="1" ht="18.600000000000001" customHeight="1" x14ac:dyDescent="0.35">
      <c r="A48" s="235"/>
      <c r="B48" s="238"/>
      <c r="C48" s="185" t="s">
        <v>37</v>
      </c>
      <c r="D48" s="178">
        <f>+D41+D44+D47</f>
        <v>0</v>
      </c>
      <c r="E48" s="186">
        <f>+SUBTOTAL(9,E39:E47)</f>
        <v>0</v>
      </c>
      <c r="F48" s="178">
        <f>+F41+F44+F47</f>
        <v>0</v>
      </c>
      <c r="G48" s="186">
        <f>+SUBTOTAL(9,G39:G47)</f>
        <v>0</v>
      </c>
      <c r="H48" s="187" t="e">
        <f t="shared" si="5"/>
        <v>#DIV/0!</v>
      </c>
      <c r="I48" s="187" t="e">
        <f t="shared" si="6"/>
        <v>#DIV/0!</v>
      </c>
      <c r="J48" s="178">
        <f>+J41+J44+J47</f>
        <v>0</v>
      </c>
      <c r="K48" s="186">
        <f>+SUBTOTAL(9,K39:K47)</f>
        <v>0</v>
      </c>
      <c r="L48" s="200"/>
    </row>
    <row r="49" spans="1:12" s="97" customFormat="1" ht="18" customHeight="1" x14ac:dyDescent="0.35">
      <c r="A49" s="235"/>
      <c r="B49" s="238"/>
      <c r="C49" s="185" t="s">
        <v>38</v>
      </c>
      <c r="D49" s="224">
        <f>+G48</f>
        <v>0</v>
      </c>
      <c r="E49" s="232"/>
      <c r="F49" s="194" t="e">
        <f>+D49/D51</f>
        <v>#DIV/0!</v>
      </c>
      <c r="G49" s="186"/>
      <c r="H49" s="187"/>
      <c r="I49" s="187"/>
      <c r="J49" s="178"/>
      <c r="K49" s="186"/>
      <c r="L49" s="200"/>
    </row>
    <row r="50" spans="1:12" s="97" customFormat="1" ht="18" customHeight="1" x14ac:dyDescent="0.35">
      <c r="A50" s="235"/>
      <c r="B50" s="238"/>
      <c r="C50" s="185" t="s">
        <v>39</v>
      </c>
      <c r="D50" s="224">
        <f>+SUMIFS(Cartera!M:M,Cartera!E:E,"Administrativa",Cartera!F:F,"&lt;&gt;Juridico")</f>
        <v>0</v>
      </c>
      <c r="E50" s="232"/>
      <c r="F50" s="194" t="e">
        <f>+D50/D51</f>
        <v>#DIV/0!</v>
      </c>
      <c r="G50" s="186"/>
      <c r="H50" s="187"/>
      <c r="I50" s="187"/>
      <c r="J50" s="178"/>
      <c r="K50" s="186"/>
      <c r="L50" s="200"/>
    </row>
    <row r="51" spans="1:12" s="97" customFormat="1" ht="18.600000000000001" customHeight="1" thickBot="1" x14ac:dyDescent="0.4">
      <c r="A51" s="235"/>
      <c r="B51" s="239"/>
      <c r="C51" s="191" t="s">
        <v>43</v>
      </c>
      <c r="D51" s="224">
        <f>+D50+G48</f>
        <v>0</v>
      </c>
      <c r="E51" s="232"/>
      <c r="F51" s="195" t="e">
        <f>+F49+F50</f>
        <v>#DIV/0!</v>
      </c>
      <c r="G51" s="226" t="s">
        <v>448</v>
      </c>
      <c r="H51" s="226"/>
      <c r="I51" s="226"/>
      <c r="J51" s="227">
        <f>+SUMIFS(CarteraHistorico!N:N,CarteraHistorico!E:E,"Administrativa")</f>
        <v>0</v>
      </c>
      <c r="K51" s="227"/>
      <c r="L51" s="200"/>
    </row>
    <row r="52" spans="1:12" s="97" customFormat="1" ht="18.600000000000001" customHeight="1" thickBot="1" x14ac:dyDescent="0.4">
      <c r="A52" s="235"/>
      <c r="B52" s="237" t="s">
        <v>44</v>
      </c>
      <c r="C52" s="245"/>
      <c r="D52" s="219" t="s">
        <v>42</v>
      </c>
      <c r="E52" s="220"/>
      <c r="F52" s="219" t="s">
        <v>14</v>
      </c>
      <c r="G52" s="220"/>
      <c r="H52" s="219" t="s">
        <v>30</v>
      </c>
      <c r="I52" s="220"/>
      <c r="J52" s="223" t="s">
        <v>31</v>
      </c>
      <c r="K52" s="222"/>
      <c r="L52" s="200"/>
    </row>
    <row r="53" spans="1:12" s="97" customFormat="1" ht="18.600000000000001" customHeight="1" x14ac:dyDescent="0.35">
      <c r="A53" s="235"/>
      <c r="B53" s="238"/>
      <c r="C53" s="232"/>
      <c r="D53" s="178" t="s">
        <v>4</v>
      </c>
      <c r="E53" s="178" t="s">
        <v>5</v>
      </c>
      <c r="F53" s="178" t="s">
        <v>4</v>
      </c>
      <c r="G53" s="178" t="s">
        <v>5</v>
      </c>
      <c r="H53" s="178" t="s">
        <v>4</v>
      </c>
      <c r="I53" s="178" t="s">
        <v>5</v>
      </c>
      <c r="J53" s="178" t="s">
        <v>4</v>
      </c>
      <c r="K53" s="193" t="s">
        <v>5</v>
      </c>
      <c r="L53" s="200"/>
    </row>
    <row r="54" spans="1:12" s="97" customFormat="1" ht="18.600000000000001" customHeight="1" x14ac:dyDescent="0.35">
      <c r="A54" s="235"/>
      <c r="B54" s="238"/>
      <c r="C54" s="179" t="s">
        <v>32</v>
      </c>
      <c r="D54" s="180">
        <f>+COUNTIFS(Cartera!E:E,"Comercial",Cartera!G:G,"&gt;0",Cartera!C:C,"Juridico")</f>
        <v>0</v>
      </c>
      <c r="E54" s="144">
        <f>+SUMIFS(Cartera!G:G,Cartera!E:E,"Comercial",Cartera!G:G,"&gt;0",Cartera!C:C,"Juridico")</f>
        <v>0</v>
      </c>
      <c r="F54" s="180">
        <f>+COUNTIFS(Cartera!E:E,"Comercial",Cartera!G:G,"&gt;0",Cartera!H:H,"&gt;0",Cartera!C:C,"Juridico")</f>
        <v>0</v>
      </c>
      <c r="G54" s="144">
        <f>+SUMIFS(Cartera!H:H,Cartera!E:E,"Comercial",Cartera!G:G,"&gt;0",Cartera!H:H,"&gt;0",Cartera!C:C,"Juridico")</f>
        <v>0</v>
      </c>
      <c r="H54" s="141" t="e">
        <f t="shared" ref="H54:H55" si="7">+F54/D54</f>
        <v>#DIV/0!</v>
      </c>
      <c r="I54" s="141" t="e">
        <f t="shared" ref="I54:I55" si="8">+G54/E54</f>
        <v>#DIV/0!</v>
      </c>
      <c r="J54" s="180">
        <f>+COUNTIFS(PptoSiguiente!E:E,"Comercial",PptoSiguiente!G:G,"&gt;0",PptoSiguiente!C:C,"Juridico")</f>
        <v>0</v>
      </c>
      <c r="K54" s="166">
        <f>+SUMIFS(PptoSiguiente!G:G,PptoSiguiente!E:E,"Comercial",PptoSiguiente!G:G,"&gt;0",PptoSiguiente!C:C,"Juridico")</f>
        <v>0</v>
      </c>
      <c r="L54" s="200"/>
    </row>
    <row r="55" spans="1:12" s="97" customFormat="1" ht="18.600000000000001" customHeight="1" x14ac:dyDescent="0.35">
      <c r="A55" s="235"/>
      <c r="B55" s="238"/>
      <c r="C55" s="179" t="s">
        <v>33</v>
      </c>
      <c r="D55" s="180">
        <f>+COUNTIFS(Cartera!E:E,"Comercial",Cartera!I:I,"&gt;0",Cartera!C:C,"Juridico")</f>
        <v>0</v>
      </c>
      <c r="E55" s="144">
        <f>+SUMIFS(Cartera!I:I,Cartera!E:E,"Comercial",Cartera!I:I,"&gt;0",Cartera!C:C,"Juridico")</f>
        <v>0</v>
      </c>
      <c r="F55" s="180">
        <f>+COUNTIFS(Cartera!E:E,"Comercial",Cartera!G:G,"&gt;0",Cartera!J:J,"&gt;0",Cartera!C:C,"Juridico")</f>
        <v>0</v>
      </c>
      <c r="G55" s="144">
        <f>+SUMIFS(Cartera!J:J,Cartera!E:E,"Comercial",Cartera!G:G,"&gt;0",Cartera!J:J,"&gt;0",Cartera!C:C,"Juridico")</f>
        <v>0</v>
      </c>
      <c r="H55" s="141" t="e">
        <f t="shared" si="7"/>
        <v>#DIV/0!</v>
      </c>
      <c r="I55" s="141" t="e">
        <f t="shared" si="8"/>
        <v>#DIV/0!</v>
      </c>
      <c r="J55" s="180">
        <f>+COUNTIFS(PptoSiguiente!E:E,"Comercial",PptoSiguiente!I:I,"&gt;0",PptoSiguiente!C:C,"Juridico")</f>
        <v>0</v>
      </c>
      <c r="K55" s="166">
        <f>+SUMIFS(PptoSiguiente!I:I,PptoSiguiente!E:E,"Comercial",PptoSiguiente!I:I,"&gt;0",PptoSiguiente!C:C,"Juridico")</f>
        <v>0</v>
      </c>
      <c r="L55" s="200"/>
    </row>
    <row r="56" spans="1:12" s="97" customFormat="1" ht="18.600000000000001" customHeight="1" x14ac:dyDescent="0.35">
      <c r="A56" s="235"/>
      <c r="B56" s="238"/>
      <c r="C56" s="181" t="s">
        <v>45</v>
      </c>
      <c r="D56" s="182">
        <f>+COUNTIFS(Cartera!E:E,"Comercial",Cartera!F:F,"Juridico",Cartera!K:K,"&gt;0",Cartera!C:C,"Juridico")</f>
        <v>0</v>
      </c>
      <c r="E56" s="183">
        <f>+SUBTOTAL(9,E54:E55)</f>
        <v>0</v>
      </c>
      <c r="F56" s="182">
        <f>+COUNTIFS(Cartera!E:E,"Comercial",Cartera!G:G,"&gt;0",Cartera!L:L,"&gt;0",Cartera!C:C,"Juridico")</f>
        <v>0</v>
      </c>
      <c r="G56" s="183">
        <f>+SUBTOTAL(9,G54:G55)</f>
        <v>0</v>
      </c>
      <c r="H56" s="184" t="e">
        <f t="shared" ref="H56:I60" si="9">+F56/D56</f>
        <v>#DIV/0!</v>
      </c>
      <c r="I56" s="184" t="e">
        <f t="shared" si="9"/>
        <v>#DIV/0!</v>
      </c>
      <c r="J56" s="182">
        <f>+COUNTIFS(PptoSiguiente!E:E,"Comercial",PptoSiguiente!K:K,"&gt;0",PptoSiguiente!C:C,"Juridico")</f>
        <v>0</v>
      </c>
      <c r="K56" s="183">
        <f>+SUBTOTAL(9,K54:K55)</f>
        <v>0</v>
      </c>
      <c r="L56" s="200"/>
    </row>
    <row r="57" spans="1:12" s="97" customFormat="1" ht="18.600000000000001" customHeight="1" x14ac:dyDescent="0.35">
      <c r="A57" s="235"/>
      <c r="B57" s="238"/>
      <c r="C57" s="179" t="s">
        <v>32</v>
      </c>
      <c r="D57" s="180">
        <f>+COUNTIFS(Cartera!E:E,"Administrativa",Cartera!F:F,"Juridico",Cartera!G:G,"&gt;0")</f>
        <v>0</v>
      </c>
      <c r="E57" s="144">
        <f>+SUMIFS(Cartera!G:G,Cartera!E:E,"Administrativa",Cartera!F:F,"Juridico",Cartera!G:G,"&gt;0")</f>
        <v>0</v>
      </c>
      <c r="F57" s="180">
        <f>+COUNTIFS(Cartera!E:E,"Administrativa",Cartera!F:F,"Juridico",Cartera!G:G,"&gt;0",Cartera!H:H,"&gt;0")</f>
        <v>0</v>
      </c>
      <c r="G57" s="144">
        <f>+SUMIFS(Cartera!H:H,Cartera!E:E,"Administrativa",Cartera!F:F,"Juridico")</f>
        <v>0</v>
      </c>
      <c r="H57" s="141" t="e">
        <f t="shared" si="9"/>
        <v>#DIV/0!</v>
      </c>
      <c r="I57" s="141" t="e">
        <f t="shared" si="9"/>
        <v>#DIV/0!</v>
      </c>
      <c r="J57" s="180">
        <f>+COUNTIFS(PptoSiguiente!E:E,"Administrativa",PptoSiguiente!F:F,"Juridico",PptoSiguiente!G:G,"&gt;0")</f>
        <v>0</v>
      </c>
      <c r="K57" s="166">
        <f>+SUMIFS(PptoSiguiente!G:G,PptoSiguiente!E:E,"Administrativa",PptoSiguiente!F:F,"Juridico",PptoSiguiente!G:G,"&gt;0")</f>
        <v>0</v>
      </c>
      <c r="L57" s="200"/>
    </row>
    <row r="58" spans="1:12" s="97" customFormat="1" ht="18.600000000000001" customHeight="1" x14ac:dyDescent="0.35">
      <c r="A58" s="235"/>
      <c r="B58" s="238"/>
      <c r="C58" s="179" t="s">
        <v>33</v>
      </c>
      <c r="D58" s="180">
        <f>+COUNTIFS(Cartera!E:E,"Administrativa",Cartera!F:F,"Juridico",Cartera!I:I,"&gt;0")</f>
        <v>0</v>
      </c>
      <c r="E58" s="144">
        <f>+SUMIFS(Cartera!I:I,Cartera!E:E,"Administrativa",Cartera!F:F,"Juridico",Cartera!I:I,"&gt;0")</f>
        <v>0</v>
      </c>
      <c r="F58" s="180">
        <f>+COUNTIFS(Cartera!E:E,"Administrativa",Cartera!F:F,"Juridico",Cartera!G:G,"&gt;0",Cartera!J:J,"&gt;0")</f>
        <v>0</v>
      </c>
      <c r="G58" s="144">
        <f>+SUMIFS(Cartera!J:J,Cartera!E:E,"Administrativa",Cartera!F:F,"Juridico")</f>
        <v>0</v>
      </c>
      <c r="H58" s="141" t="e">
        <f t="shared" si="9"/>
        <v>#DIV/0!</v>
      </c>
      <c r="I58" s="141" t="e">
        <f t="shared" si="9"/>
        <v>#DIV/0!</v>
      </c>
      <c r="J58" s="180">
        <f>+COUNTIFS(PptoSiguiente!E:E,"Administrativa",PptoSiguiente!F:F,"Juridico",PptoSiguiente!I:I,"&gt;0")</f>
        <v>0</v>
      </c>
      <c r="K58" s="166">
        <f>+SUMIFS(PptoSiguiente!I:I,PptoSiguiente!E:E,"Administrativa",PptoSiguiente!F:F,"Juridico",PptoSiguiente!I:I,"&gt;0")</f>
        <v>0</v>
      </c>
      <c r="L58" s="200"/>
    </row>
    <row r="59" spans="1:12" s="97" customFormat="1" ht="18.600000000000001" customHeight="1" x14ac:dyDescent="0.35">
      <c r="A59" s="235"/>
      <c r="B59" s="238"/>
      <c r="C59" s="181" t="s">
        <v>46</v>
      </c>
      <c r="D59" s="182">
        <f>+COUNTIFS(Cartera!E:E,"Administrativa",Cartera!F:F,"Juridico",Cartera!K:K,"&gt;0")</f>
        <v>0</v>
      </c>
      <c r="E59" s="183">
        <f>+SUBTOTAL(9,E57:E58)</f>
        <v>0</v>
      </c>
      <c r="F59" s="182">
        <f>+COUNTIFS(Cartera!E:E,"Administrativa",Cartera!F:F,"Juridico",Cartera!G:G,"&gt;0",Cartera!L:L,"&gt;0")</f>
        <v>0</v>
      </c>
      <c r="G59" s="183">
        <f>+SUBTOTAL(9,G57:G58)</f>
        <v>0</v>
      </c>
      <c r="H59" s="184" t="e">
        <f t="shared" si="9"/>
        <v>#DIV/0!</v>
      </c>
      <c r="I59" s="184" t="e">
        <f t="shared" si="9"/>
        <v>#DIV/0!</v>
      </c>
      <c r="J59" s="182">
        <f>+COUNTIFS(PptoSiguiente!E:E,"Administrativa",PptoSiguiente!F:F,"Juridico",PptoSiguiente!K:K,"&gt;0")</f>
        <v>0</v>
      </c>
      <c r="K59" s="183">
        <f>+SUBTOTAL(9,K57:K58)</f>
        <v>0</v>
      </c>
      <c r="L59" s="200"/>
    </row>
    <row r="60" spans="1:12" s="97" customFormat="1" ht="18.600000000000001" customHeight="1" x14ac:dyDescent="0.35">
      <c r="A60" s="235"/>
      <c r="B60" s="238"/>
      <c r="C60" s="185" t="s">
        <v>37</v>
      </c>
      <c r="D60" s="178">
        <f>+D56+D59</f>
        <v>0</v>
      </c>
      <c r="E60" s="186">
        <f>+E56+E59</f>
        <v>0</v>
      </c>
      <c r="F60" s="178">
        <f>+F56+F59</f>
        <v>0</v>
      </c>
      <c r="G60" s="186">
        <f>+G56+G59</f>
        <v>0</v>
      </c>
      <c r="H60" s="187" t="e">
        <f t="shared" si="9"/>
        <v>#DIV/0!</v>
      </c>
      <c r="I60" s="187" t="e">
        <f t="shared" si="9"/>
        <v>#DIV/0!</v>
      </c>
      <c r="J60" s="178">
        <f>+J56+J59</f>
        <v>0</v>
      </c>
      <c r="K60" s="186">
        <f>+K56+K59</f>
        <v>0</v>
      </c>
      <c r="L60" s="200"/>
    </row>
    <row r="61" spans="1:12" s="97" customFormat="1" ht="18.600000000000001" customHeight="1" x14ac:dyDescent="0.35">
      <c r="A61" s="235"/>
      <c r="B61" s="238"/>
      <c r="C61" s="185" t="s">
        <v>38</v>
      </c>
      <c r="D61" s="224">
        <f>+G60</f>
        <v>0</v>
      </c>
      <c r="E61" s="232"/>
      <c r="F61" s="194" t="e">
        <f>+D61/D63</f>
        <v>#DIV/0!</v>
      </c>
      <c r="G61" s="186"/>
      <c r="H61" s="187"/>
      <c r="I61" s="187"/>
      <c r="J61" s="178"/>
      <c r="K61" s="186"/>
      <c r="L61" s="200"/>
    </row>
    <row r="62" spans="1:12" s="97" customFormat="1" ht="18.600000000000001" customHeight="1" x14ac:dyDescent="0.35">
      <c r="A62" s="235"/>
      <c r="B62" s="238"/>
      <c r="C62" s="185" t="s">
        <v>39</v>
      </c>
      <c r="D62" s="224">
        <f>+SUMIFS(Cartera!M:M,Cartera!F:F,"Juridico")</f>
        <v>0</v>
      </c>
      <c r="E62" s="232"/>
      <c r="F62" s="194" t="e">
        <f>+D62/D63</f>
        <v>#DIV/0!</v>
      </c>
      <c r="G62" s="186"/>
      <c r="H62" s="187"/>
      <c r="I62" s="187"/>
      <c r="J62" s="178"/>
      <c r="K62" s="186"/>
      <c r="L62" s="200"/>
    </row>
    <row r="63" spans="1:12" s="97" customFormat="1" ht="18.600000000000001" customHeight="1" thickBot="1" x14ac:dyDescent="0.4">
      <c r="A63" s="236"/>
      <c r="B63" s="239"/>
      <c r="C63" s="191" t="s">
        <v>47</v>
      </c>
      <c r="D63" s="224">
        <f>+D62+G60</f>
        <v>0</v>
      </c>
      <c r="E63" s="232"/>
      <c r="F63" s="195" t="e">
        <f>+F61+F62</f>
        <v>#DIV/0!</v>
      </c>
      <c r="G63" s="226" t="s">
        <v>449</v>
      </c>
      <c r="H63" s="226"/>
      <c r="I63" s="226"/>
      <c r="J63" s="227">
        <f>+SUMIFS(CarteraHistorico!N:N,CarteraHistorico!E:E,"Juridico")</f>
        <v>0</v>
      </c>
      <c r="K63" s="227"/>
      <c r="L63" s="200"/>
    </row>
    <row r="64" spans="1:12" s="99" customFormat="1" ht="23.4" customHeight="1" thickBot="1" x14ac:dyDescent="0.35">
      <c r="A64" s="228" t="s">
        <v>48</v>
      </c>
      <c r="B64" s="229"/>
      <c r="C64" s="230"/>
      <c r="D64" s="217">
        <f>+D63+D51+D36</f>
        <v>0</v>
      </c>
      <c r="E64" s="218"/>
      <c r="F64" s="218"/>
      <c r="G64" s="228" t="s">
        <v>450</v>
      </c>
      <c r="H64" s="229"/>
      <c r="I64" s="230"/>
      <c r="J64" s="217">
        <f>+J36+J51+J63</f>
        <v>0</v>
      </c>
      <c r="K64" s="218"/>
      <c r="L64" s="201"/>
    </row>
    <row r="65" spans="1:12" s="99" customFormat="1" ht="23.4" customHeight="1" thickBot="1" x14ac:dyDescent="0.35">
      <c r="A65" s="231" t="s">
        <v>49</v>
      </c>
      <c r="B65" s="229"/>
      <c r="C65" s="230"/>
      <c r="D65" s="217">
        <f>+D64+E12</f>
        <v>0</v>
      </c>
      <c r="E65" s="218"/>
      <c r="F65" s="218"/>
      <c r="G65" s="231" t="s">
        <v>49</v>
      </c>
      <c r="H65" s="229"/>
      <c r="I65" s="230"/>
      <c r="J65" s="217">
        <f>+J64+I12</f>
        <v>0</v>
      </c>
      <c r="K65" s="218"/>
      <c r="L65" s="201"/>
    </row>
    <row r="66" spans="1:12" s="99" customFormat="1" ht="37.200000000000003" customHeight="1" thickBot="1" x14ac:dyDescent="0.35">
      <c r="A66" s="196"/>
      <c r="B66" s="197"/>
      <c r="C66" s="197"/>
      <c r="D66" s="215" t="s">
        <v>50</v>
      </c>
      <c r="E66" s="215"/>
      <c r="F66" s="215"/>
      <c r="G66" s="198" t="s">
        <v>437</v>
      </c>
      <c r="H66" s="215" t="s">
        <v>52</v>
      </c>
      <c r="I66" s="215"/>
      <c r="J66" s="215"/>
      <c r="K66" s="199" t="str">
        <f>+G66</f>
        <v>% Ventas Total</v>
      </c>
      <c r="L66" s="201"/>
    </row>
    <row r="67" spans="1:12" ht="14.4" customHeight="1" thickBot="1" x14ac:dyDescent="0.35">
      <c r="A67" s="234" t="s">
        <v>53</v>
      </c>
      <c r="B67" s="254" t="s">
        <v>363</v>
      </c>
      <c r="C67" s="130" t="s">
        <v>55</v>
      </c>
      <c r="D67" s="216">
        <f>+SUMIF('Gastos Mes'!G:G,'RESULTADOS MES'!L67,'Gastos Mes'!H:H)</f>
        <v>0</v>
      </c>
      <c r="E67" s="216"/>
      <c r="F67" s="216"/>
      <c r="G67" s="133" t="e">
        <f>D67/IF($G$66="% presupuesto",F67,VLOOKUP($G$66,Control!F:G,2,FALSE))</f>
        <v>#DIV/0!</v>
      </c>
      <c r="H67" s="216">
        <f>+SUMIF(GastosHistorico!G:G,'RESULTADOS MES'!L67,GastosHistorico!H:H)+D67</f>
        <v>0</v>
      </c>
      <c r="I67" s="216"/>
      <c r="J67" s="216"/>
      <c r="K67" s="158" t="e">
        <f>H67/VLOOKUP($G$66,Control!F:H,3,FALSE)</f>
        <v>#DIV/0!</v>
      </c>
      <c r="L67" s="138">
        <v>35</v>
      </c>
    </row>
    <row r="68" spans="1:12" ht="14.4" customHeight="1" x14ac:dyDescent="0.3">
      <c r="A68" s="235"/>
      <c r="B68" s="238"/>
      <c r="C68" s="138" t="s">
        <v>56</v>
      </c>
      <c r="D68" s="210">
        <f>+SUMIF('Gastos Mes'!G:G,'RESULTADOS MES'!L68,'Gastos Mes'!H:H)</f>
        <v>0</v>
      </c>
      <c r="E68" s="210"/>
      <c r="F68" s="210"/>
      <c r="G68" s="141" t="e">
        <f>D68/IF($G$66="% presupuesto",F68,VLOOKUP($G$66,Control!F:G,2,FALSE))</f>
        <v>#DIV/0!</v>
      </c>
      <c r="H68" s="210">
        <f>+SUMIF(GastosHistorico!G:G,'RESULTADOS MES'!L68,GastosHistorico!H:H)+D68</f>
        <v>0</v>
      </c>
      <c r="I68" s="210"/>
      <c r="J68" s="210"/>
      <c r="K68" s="158" t="e">
        <f>H68/VLOOKUP($G$66,Control!F:H,3,FALSE)</f>
        <v>#DIV/0!</v>
      </c>
      <c r="L68" s="138">
        <v>36</v>
      </c>
    </row>
    <row r="69" spans="1:12" ht="14.4" customHeight="1" x14ac:dyDescent="0.3">
      <c r="A69" s="235"/>
      <c r="B69" s="238"/>
      <c r="C69" s="138" t="s">
        <v>57</v>
      </c>
      <c r="D69" s="210">
        <f>+SUMIF('Gastos Mes'!G:G,'RESULTADOS MES'!L69,'Gastos Mes'!H:H)</f>
        <v>0</v>
      </c>
      <c r="E69" s="210"/>
      <c r="F69" s="210"/>
      <c r="G69" s="141" t="e">
        <f>D69/IF($G$66="% presupuesto",F69,VLOOKUP($G$66,Control!F:G,2,FALSE))</f>
        <v>#DIV/0!</v>
      </c>
      <c r="H69" s="210">
        <f>+SUMIF(GastosHistorico!G:G,'RESULTADOS MES'!L69,GastosHistorico!H:H)+D69</f>
        <v>0</v>
      </c>
      <c r="I69" s="210"/>
      <c r="J69" s="210"/>
      <c r="K69" s="158" t="e">
        <f>H69/VLOOKUP($G$66,Control!F:H,3,FALSE)</f>
        <v>#DIV/0!</v>
      </c>
      <c r="L69" s="138">
        <v>37</v>
      </c>
    </row>
    <row r="70" spans="1:12" ht="14.4" customHeight="1" x14ac:dyDescent="0.3">
      <c r="A70" s="235"/>
      <c r="B70" s="238"/>
      <c r="C70" s="138" t="s">
        <v>58</v>
      </c>
      <c r="D70" s="210">
        <f>+SUMIF('Gastos Mes'!G:G,'RESULTADOS MES'!L70,'Gastos Mes'!H:H)</f>
        <v>0</v>
      </c>
      <c r="E70" s="210"/>
      <c r="F70" s="210"/>
      <c r="G70" s="141" t="e">
        <f>D70/IF($G$66="% presupuesto",F70,VLOOKUP($G$66,Control!F:G,2,FALSE))</f>
        <v>#DIV/0!</v>
      </c>
      <c r="H70" s="210">
        <f>+SUMIF(GastosHistorico!G:G,'RESULTADOS MES'!L70,GastosHistorico!H:H)+D70</f>
        <v>0</v>
      </c>
      <c r="I70" s="210"/>
      <c r="J70" s="210"/>
      <c r="K70" s="158" t="e">
        <f>H70/VLOOKUP($G$66,Control!F:H,3,FALSE)</f>
        <v>#DIV/0!</v>
      </c>
      <c r="L70" s="138">
        <v>38</v>
      </c>
    </row>
    <row r="71" spans="1:12" ht="14.4" customHeight="1" x14ac:dyDescent="0.3">
      <c r="A71" s="235"/>
      <c r="B71" s="238"/>
      <c r="C71" s="138" t="s">
        <v>59</v>
      </c>
      <c r="D71" s="210">
        <f>+SUMIF('Gastos Mes'!G:G,'RESULTADOS MES'!L71,'Gastos Mes'!H:H)</f>
        <v>0</v>
      </c>
      <c r="E71" s="210"/>
      <c r="F71" s="210"/>
      <c r="G71" s="141" t="e">
        <f>D71/IF($G$66="% presupuesto",F71,VLOOKUP($G$66,Control!F:G,2,FALSE))</f>
        <v>#DIV/0!</v>
      </c>
      <c r="H71" s="210">
        <f>+SUMIF(GastosHistorico!G:G,'RESULTADOS MES'!L71,GastosHistorico!H:H)+D71</f>
        <v>0</v>
      </c>
      <c r="I71" s="210"/>
      <c r="J71" s="210"/>
      <c r="K71" s="158" t="e">
        <f>H71/VLOOKUP($G$66,Control!F:H,3,FALSE)</f>
        <v>#DIV/0!</v>
      </c>
      <c r="L71" s="138">
        <v>39</v>
      </c>
    </row>
    <row r="72" spans="1:12" ht="14.4" customHeight="1" x14ac:dyDescent="0.3">
      <c r="A72" s="235"/>
      <c r="B72" s="238"/>
      <c r="C72" s="138" t="s">
        <v>60</v>
      </c>
      <c r="D72" s="210">
        <f>+SUMIF('Gastos Mes'!G:G,'RESULTADOS MES'!L72,'Gastos Mes'!H:H)</f>
        <v>0</v>
      </c>
      <c r="E72" s="210"/>
      <c r="F72" s="210"/>
      <c r="G72" s="141" t="e">
        <f>D72/IF($G$66="% presupuesto",F72,VLOOKUP($G$66,Control!F:G,2,FALSE))</f>
        <v>#DIV/0!</v>
      </c>
      <c r="H72" s="210">
        <f>+SUMIF(GastosHistorico!G:G,'RESULTADOS MES'!L72,GastosHistorico!H:H)+D72</f>
        <v>0</v>
      </c>
      <c r="I72" s="210"/>
      <c r="J72" s="210"/>
      <c r="K72" s="158" t="e">
        <f>H72/VLOOKUP($G$66,Control!F:H,3,FALSE)</f>
        <v>#DIV/0!</v>
      </c>
      <c r="L72" s="138">
        <v>40</v>
      </c>
    </row>
    <row r="73" spans="1:12" ht="14.4" customHeight="1" x14ac:dyDescent="0.3">
      <c r="A73" s="235"/>
      <c r="B73" s="238"/>
      <c r="C73" s="138" t="s">
        <v>61</v>
      </c>
      <c r="D73" s="210">
        <f>+SUMIF('Gastos Mes'!G:G,'RESULTADOS MES'!L73,'Gastos Mes'!H:H)</f>
        <v>0</v>
      </c>
      <c r="E73" s="210"/>
      <c r="F73" s="210"/>
      <c r="G73" s="141" t="e">
        <f>D73/IF($G$66="% presupuesto",F73,VLOOKUP($G$66,Control!F:G,2,FALSE))</f>
        <v>#DIV/0!</v>
      </c>
      <c r="H73" s="210">
        <f>+SUMIF(GastosHistorico!G:G,'RESULTADOS MES'!L73,GastosHistorico!H:H)+D73</f>
        <v>0</v>
      </c>
      <c r="I73" s="210"/>
      <c r="J73" s="210"/>
      <c r="K73" s="158" t="e">
        <f>H73/VLOOKUP($G$66,Control!F:H,3,FALSE)</f>
        <v>#DIV/0!</v>
      </c>
      <c r="L73" s="138">
        <v>41</v>
      </c>
    </row>
    <row r="74" spans="1:12" ht="14.4" customHeight="1" x14ac:dyDescent="0.3">
      <c r="A74" s="235"/>
      <c r="B74" s="238"/>
      <c r="C74" s="138" t="s">
        <v>62</v>
      </c>
      <c r="D74" s="210">
        <f>+SUMIF('Gastos Mes'!G:G,'RESULTADOS MES'!L74,'Gastos Mes'!H:H)</f>
        <v>0</v>
      </c>
      <c r="E74" s="210"/>
      <c r="F74" s="210"/>
      <c r="G74" s="141" t="e">
        <f>D74/IF($G$66="% presupuesto",F74,VLOOKUP($G$66,Control!F:G,2,FALSE))</f>
        <v>#DIV/0!</v>
      </c>
      <c r="H74" s="210">
        <f>+SUMIF(GastosHistorico!G:G,'RESULTADOS MES'!L74,GastosHistorico!H:H)+D74</f>
        <v>0</v>
      </c>
      <c r="I74" s="210"/>
      <c r="J74" s="210"/>
      <c r="K74" s="158" t="e">
        <f>H74/VLOOKUP($G$66,Control!F:H,3,FALSE)</f>
        <v>#DIV/0!</v>
      </c>
      <c r="L74" s="138">
        <v>42</v>
      </c>
    </row>
    <row r="75" spans="1:12" ht="14.4" customHeight="1" x14ac:dyDescent="0.3">
      <c r="A75" s="235"/>
      <c r="B75" s="238"/>
      <c r="C75" s="138" t="s">
        <v>63</v>
      </c>
      <c r="D75" s="210">
        <f>+SUMIF('Gastos Mes'!G:G,'RESULTADOS MES'!L75,'Gastos Mes'!H:H)</f>
        <v>0</v>
      </c>
      <c r="E75" s="210"/>
      <c r="F75" s="210"/>
      <c r="G75" s="141" t="e">
        <f>D75/IF($G$66="% presupuesto",F75,VLOOKUP($G$66,Control!F:G,2,FALSE))</f>
        <v>#DIV/0!</v>
      </c>
      <c r="H75" s="210">
        <f>+SUMIF(GastosHistorico!G:G,'RESULTADOS MES'!L75,GastosHistorico!H:H)+D75</f>
        <v>0</v>
      </c>
      <c r="I75" s="210"/>
      <c r="J75" s="210"/>
      <c r="K75" s="158" t="e">
        <f>H75/VLOOKUP($G$66,Control!F:H,3,FALSE)</f>
        <v>#DIV/0!</v>
      </c>
      <c r="L75" s="138">
        <v>43</v>
      </c>
    </row>
    <row r="76" spans="1:12" ht="14.4" customHeight="1" x14ac:dyDescent="0.3">
      <c r="A76" s="235"/>
      <c r="B76" s="238"/>
      <c r="C76" s="138" t="s">
        <v>64</v>
      </c>
      <c r="D76" s="210">
        <f>+SUMIF('Gastos Mes'!G:G,'RESULTADOS MES'!L76,'Gastos Mes'!H:H)</f>
        <v>0</v>
      </c>
      <c r="E76" s="210"/>
      <c r="F76" s="210"/>
      <c r="G76" s="141" t="e">
        <f>D76/IF($G$66="% presupuesto",F76,VLOOKUP($G$66,Control!F:G,2,FALSE))</f>
        <v>#DIV/0!</v>
      </c>
      <c r="H76" s="210">
        <f>+SUMIF(GastosHistorico!G:G,'RESULTADOS MES'!L76,GastosHistorico!H:H)+D76</f>
        <v>0</v>
      </c>
      <c r="I76" s="210"/>
      <c r="J76" s="210"/>
      <c r="K76" s="158" t="e">
        <f>H76/VLOOKUP($G$66,Control!F:H,3,FALSE)</f>
        <v>#DIV/0!</v>
      </c>
      <c r="L76" s="138">
        <v>44</v>
      </c>
    </row>
    <row r="77" spans="1:12" ht="14.4" customHeight="1" x14ac:dyDescent="0.3">
      <c r="A77" s="235"/>
      <c r="B77" s="238"/>
      <c r="C77" s="138" t="s">
        <v>65</v>
      </c>
      <c r="D77" s="210">
        <f>+SUMIF('Gastos Mes'!G:G,'RESULTADOS MES'!L77,'Gastos Mes'!H:H)</f>
        <v>0</v>
      </c>
      <c r="E77" s="210"/>
      <c r="F77" s="210"/>
      <c r="G77" s="141" t="e">
        <f>D77/IF($G$66="% presupuesto",F77,VLOOKUP($G$66,Control!F:G,2,FALSE))</f>
        <v>#DIV/0!</v>
      </c>
      <c r="H77" s="210">
        <f>+SUMIF(GastosHistorico!G:G,'RESULTADOS MES'!L77,GastosHistorico!H:H)+D77</f>
        <v>0</v>
      </c>
      <c r="I77" s="210"/>
      <c r="J77" s="210"/>
      <c r="K77" s="158" t="e">
        <f>H77/VLOOKUP($G$66,Control!F:H,3,FALSE)</f>
        <v>#DIV/0!</v>
      </c>
      <c r="L77" s="138">
        <v>45</v>
      </c>
    </row>
    <row r="78" spans="1:12" ht="14.4" customHeight="1" x14ac:dyDescent="0.3">
      <c r="A78" s="235"/>
      <c r="B78" s="238"/>
      <c r="C78" s="207" t="s">
        <v>66</v>
      </c>
      <c r="D78" s="210">
        <f>+SUMIF('Gastos Mes'!G:G,'RESULTADOS MES'!L78,'Gastos Mes'!H:H)</f>
        <v>0</v>
      </c>
      <c r="E78" s="210"/>
      <c r="F78" s="210"/>
      <c r="G78" s="141" t="e">
        <f>D78/IF($G$66="% presupuesto",F78,VLOOKUP($G$66,Control!F:G,2,FALSE))</f>
        <v>#DIV/0!</v>
      </c>
      <c r="H78" s="210">
        <f>+SUMIF(GastosHistorico!G:G,'RESULTADOS MES'!L78,GastosHistorico!H:H)+D78</f>
        <v>0</v>
      </c>
      <c r="I78" s="210"/>
      <c r="J78" s="210"/>
      <c r="K78" s="158" t="e">
        <f>H78/VLOOKUP($G$66,Control!F:H,3,FALSE)</f>
        <v>#DIV/0!</v>
      </c>
      <c r="L78" s="138">
        <v>46</v>
      </c>
    </row>
    <row r="79" spans="1:12" ht="15" customHeight="1" thickBot="1" x14ac:dyDescent="0.35">
      <c r="A79" s="235"/>
      <c r="B79" s="239"/>
      <c r="C79" s="202" t="s">
        <v>454</v>
      </c>
      <c r="D79" s="211">
        <f>+SUBTOTAL(9,D67:D78)</f>
        <v>0</v>
      </c>
      <c r="E79" s="211"/>
      <c r="F79" s="211"/>
      <c r="G79" s="203" t="e">
        <f>+SUBTOTAL(9,G67:G78)</f>
        <v>#DIV/0!</v>
      </c>
      <c r="H79" s="211">
        <f>+SUBTOTAL(9,H67:H78)</f>
        <v>0</v>
      </c>
      <c r="I79" s="211"/>
      <c r="J79" s="211"/>
      <c r="K79" s="204" t="e">
        <f>+SUBTOTAL(9,K67:K78)</f>
        <v>#DIV/0!</v>
      </c>
      <c r="L79" s="138"/>
    </row>
    <row r="80" spans="1:12" ht="14.4" customHeight="1" thickBot="1" x14ac:dyDescent="0.35">
      <c r="A80" s="235"/>
      <c r="B80" s="237" t="s">
        <v>68</v>
      </c>
      <c r="C80" s="130" t="s">
        <v>69</v>
      </c>
      <c r="D80" s="216">
        <f>+SUMIF('Gastos Mes'!G:G,'RESULTADOS MES'!L80,'Gastos Mes'!H:H)</f>
        <v>0</v>
      </c>
      <c r="E80" s="216"/>
      <c r="F80" s="216"/>
      <c r="G80" s="141" t="e">
        <f>D80/VLOOKUP($G$66,Control!F:G,2,FALSE)</f>
        <v>#DIV/0!</v>
      </c>
      <c r="H80" s="210">
        <f>+SUMIF(GastosHistorico!G:G,'RESULTADOS MES'!L80,GastosHistorico!H:H)+D80</f>
        <v>0</v>
      </c>
      <c r="I80" s="210"/>
      <c r="J80" s="210"/>
      <c r="K80" s="158" t="e">
        <f>H80/VLOOKUP($G$66,Control!F:H,3,FALSE)</f>
        <v>#DIV/0!</v>
      </c>
      <c r="L80" s="138">
        <v>55</v>
      </c>
    </row>
    <row r="81" spans="1:12" ht="14.4" customHeight="1" x14ac:dyDescent="0.3">
      <c r="A81" s="235"/>
      <c r="B81" s="238"/>
      <c r="C81" s="138" t="s">
        <v>70</v>
      </c>
      <c r="D81" s="210">
        <f>+SUMIF('Gastos Mes'!G:G,'RESULTADOS MES'!L81,'Gastos Mes'!H:H)</f>
        <v>0</v>
      </c>
      <c r="E81" s="210"/>
      <c r="F81" s="210"/>
      <c r="G81" s="141" t="e">
        <f>D81/VLOOKUP($G$66,Control!F:G,2,FALSE)</f>
        <v>#DIV/0!</v>
      </c>
      <c r="H81" s="210">
        <f>+SUMIF(GastosHistorico!G:G,'RESULTADOS MES'!L81,GastosHistorico!H:H)+D81</f>
        <v>0</v>
      </c>
      <c r="I81" s="210"/>
      <c r="J81" s="210"/>
      <c r="K81" s="158" t="e">
        <f>H81/VLOOKUP($G$66,Control!F:H,3,FALSE)</f>
        <v>#DIV/0!</v>
      </c>
      <c r="L81" s="138">
        <v>56</v>
      </c>
    </row>
    <row r="82" spans="1:12" ht="14.4" customHeight="1" x14ac:dyDescent="0.3">
      <c r="A82" s="235"/>
      <c r="B82" s="238"/>
      <c r="C82" s="138" t="s">
        <v>71</v>
      </c>
      <c r="D82" s="210">
        <f>+SUMIF('Gastos Mes'!G:G,'RESULTADOS MES'!L82,'Gastos Mes'!H:H)</f>
        <v>0</v>
      </c>
      <c r="E82" s="210"/>
      <c r="F82" s="210"/>
      <c r="G82" s="141" t="e">
        <f>D82/VLOOKUP($G$66,Control!F:G,2,FALSE)</f>
        <v>#DIV/0!</v>
      </c>
      <c r="H82" s="210">
        <f>+SUMIF(GastosHistorico!G:G,'RESULTADOS MES'!L82,GastosHistorico!H:H)+D82</f>
        <v>0</v>
      </c>
      <c r="I82" s="210"/>
      <c r="J82" s="210"/>
      <c r="K82" s="158" t="e">
        <f>H82/VLOOKUP($G$66,Control!F:H,3,FALSE)</f>
        <v>#DIV/0!</v>
      </c>
      <c r="L82" s="138">
        <v>57</v>
      </c>
    </row>
    <row r="83" spans="1:12" ht="14.4" customHeight="1" thickBot="1" x14ac:dyDescent="0.35">
      <c r="A83" s="235"/>
      <c r="B83" s="239"/>
      <c r="C83" s="202" t="s">
        <v>72</v>
      </c>
      <c r="D83" s="211">
        <f>+SUBTOTAL(9,D80:D82)</f>
        <v>0</v>
      </c>
      <c r="E83" s="211"/>
      <c r="F83" s="211"/>
      <c r="G83" s="203" t="e">
        <f>+SUBTOTAL(9,G80:G82)</f>
        <v>#DIV/0!</v>
      </c>
      <c r="H83" s="211">
        <f>+SUBTOTAL(9,H80:H82)</f>
        <v>0</v>
      </c>
      <c r="I83" s="211"/>
      <c r="J83" s="211"/>
      <c r="K83" s="204" t="e">
        <f>+SUBTOTAL(9,K80:K82)</f>
        <v>#DIV/0!</v>
      </c>
      <c r="L83" s="138"/>
    </row>
    <row r="84" spans="1:12" ht="18.600000000000001" customHeight="1" thickBot="1" x14ac:dyDescent="0.4">
      <c r="A84" s="236"/>
      <c r="B84" s="233" t="s">
        <v>73</v>
      </c>
      <c r="C84" s="225"/>
      <c r="D84" s="208">
        <f>+SUBTOTAL(9,D67:D83)</f>
        <v>0</v>
      </c>
      <c r="E84" s="208"/>
      <c r="F84" s="208"/>
      <c r="G84" s="205" t="e">
        <f>+SUBTOTAL(9,G67:G83)</f>
        <v>#DIV/0!</v>
      </c>
      <c r="H84" s="209">
        <f>+SUBTOTAL(9,H67:H83)</f>
        <v>0</v>
      </c>
      <c r="I84" s="209"/>
      <c r="J84" s="209"/>
      <c r="K84" s="206" t="e">
        <f>+SUBTOTAL(9,K67:K83)</f>
        <v>#DIV/0!</v>
      </c>
      <c r="L84" s="138"/>
    </row>
    <row r="85" spans="1:12" ht="29.4" customHeight="1" thickBot="1" x14ac:dyDescent="0.35">
      <c r="A85" s="214" t="s">
        <v>74</v>
      </c>
      <c r="B85" s="229"/>
      <c r="C85" s="229"/>
      <c r="D85" s="229"/>
      <c r="E85" s="212">
        <f>+VLOOKUP($G$66,Control!F:G,2,FALSE)-D84</f>
        <v>0</v>
      </c>
      <c r="F85" s="212"/>
      <c r="G85" s="214" t="s">
        <v>452</v>
      </c>
      <c r="H85" s="215"/>
      <c r="I85" s="215"/>
      <c r="J85" s="212">
        <f>+VLOOKUP($G$66,Control!F:H,3,FALSE)-H84</f>
        <v>0</v>
      </c>
      <c r="K85" s="212"/>
      <c r="L85" s="213"/>
    </row>
    <row r="87" spans="1:12" ht="25.95" customHeight="1" x14ac:dyDescent="0.3"/>
  </sheetData>
  <mergeCells count="97">
    <mergeCell ref="H52:I52"/>
    <mergeCell ref="J52:K52"/>
    <mergeCell ref="A1:K2"/>
    <mergeCell ref="A5:A18"/>
    <mergeCell ref="B5:B8"/>
    <mergeCell ref="B9:B12"/>
    <mergeCell ref="B13:B18"/>
    <mergeCell ref="A19:A63"/>
    <mergeCell ref="B52:B63"/>
    <mergeCell ref="C52:C53"/>
    <mergeCell ref="D52:E52"/>
    <mergeCell ref="D77:F77"/>
    <mergeCell ref="D50:E50"/>
    <mergeCell ref="D36:E36"/>
    <mergeCell ref="B67:B79"/>
    <mergeCell ref="D49:E49"/>
    <mergeCell ref="B37:B51"/>
    <mergeCell ref="D62:E62"/>
    <mergeCell ref="D63:E63"/>
    <mergeCell ref="D66:F66"/>
    <mergeCell ref="D67:F67"/>
    <mergeCell ref="D68:F68"/>
    <mergeCell ref="D69:F69"/>
    <mergeCell ref="A65:C65"/>
    <mergeCell ref="D3:G3"/>
    <mergeCell ref="D51:E51"/>
    <mergeCell ref="B84:C84"/>
    <mergeCell ref="A67:A84"/>
    <mergeCell ref="B80:B83"/>
    <mergeCell ref="D74:F74"/>
    <mergeCell ref="D75:F75"/>
    <mergeCell ref="D76:F76"/>
    <mergeCell ref="D61:E61"/>
    <mergeCell ref="A64:C64"/>
    <mergeCell ref="C3:C4"/>
    <mergeCell ref="A3:B4"/>
    <mergeCell ref="B19:B36"/>
    <mergeCell ref="C19:C20"/>
    <mergeCell ref="C37:C38"/>
    <mergeCell ref="G63:I63"/>
    <mergeCell ref="J63:K63"/>
    <mergeCell ref="D64:F64"/>
    <mergeCell ref="D65:F65"/>
    <mergeCell ref="G64:I64"/>
    <mergeCell ref="G65:I65"/>
    <mergeCell ref="J65:K65"/>
    <mergeCell ref="F52:G52"/>
    <mergeCell ref="H3:K3"/>
    <mergeCell ref="D19:E19"/>
    <mergeCell ref="J19:K19"/>
    <mergeCell ref="H19:I19"/>
    <mergeCell ref="F19:G19"/>
    <mergeCell ref="D34:E34"/>
    <mergeCell ref="D37:E37"/>
    <mergeCell ref="H37:I37"/>
    <mergeCell ref="F37:G37"/>
    <mergeCell ref="D35:E35"/>
    <mergeCell ref="G36:I36"/>
    <mergeCell ref="J36:K36"/>
    <mergeCell ref="J37:K37"/>
    <mergeCell ref="J51:K51"/>
    <mergeCell ref="G51:I51"/>
    <mergeCell ref="H77:J77"/>
    <mergeCell ref="H78:J78"/>
    <mergeCell ref="J64:K64"/>
    <mergeCell ref="D79:F79"/>
    <mergeCell ref="D72:F72"/>
    <mergeCell ref="D73:F73"/>
    <mergeCell ref="H79:J79"/>
    <mergeCell ref="D78:F78"/>
    <mergeCell ref="H66:J66"/>
    <mergeCell ref="D70:F70"/>
    <mergeCell ref="D71:F71"/>
    <mergeCell ref="H72:J72"/>
    <mergeCell ref="H73:J73"/>
    <mergeCell ref="H74:J74"/>
    <mergeCell ref="H75:J75"/>
    <mergeCell ref="H76:J76"/>
    <mergeCell ref="H67:J67"/>
    <mergeCell ref="H68:J68"/>
    <mergeCell ref="H69:J69"/>
    <mergeCell ref="H70:J70"/>
    <mergeCell ref="H71:J71"/>
    <mergeCell ref="J85:L85"/>
    <mergeCell ref="E85:F85"/>
    <mergeCell ref="G85:I85"/>
    <mergeCell ref="H80:J80"/>
    <mergeCell ref="H81:J81"/>
    <mergeCell ref="D80:F80"/>
    <mergeCell ref="D81:F81"/>
    <mergeCell ref="D82:F82"/>
    <mergeCell ref="A85:D85"/>
    <mergeCell ref="D84:F84"/>
    <mergeCell ref="H84:J84"/>
    <mergeCell ref="H82:J82"/>
    <mergeCell ref="D83:F83"/>
    <mergeCell ref="H83:J83"/>
  </mergeCells>
  <dataValidations disablePrompts="1" count="1">
    <dataValidation type="list" allowBlank="1" showInputMessage="1" showErrorMessage="1" sqref="G66" xr:uid="{239D65AF-3716-46B0-82F4-1DECD160FC07}">
      <formula1>"% Ventas Total,% Ventas Procesables,% Recaudo Ventas,% Recaudo Comercial,% Recaudo Administrativo,% Recaudo Cartera,% Recaudo Total,% Presupuestado"</formula1>
    </dataValidation>
  </dataValidations>
  <pageMargins left="0.25" right="0.25" top="0.75" bottom="0.75" header="0.3" footer="0.3"/>
  <pageSetup paperSize="5" scale="51" orientation="portrait" r:id="rId1"/>
  <rowBreaks count="1" manualBreakCount="1">
    <brk id="7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29" sqref="A29"/>
    </sheetView>
  </sheetViews>
  <sheetFormatPr baseColWidth="10" defaultRowHeight="14.4" x14ac:dyDescent="0.3"/>
  <cols>
    <col min="1" max="1" width="33.109375" style="106" bestFit="1" customWidth="1"/>
    <col min="2" max="2" width="12.5546875" style="98" bestFit="1" customWidth="1"/>
    <col min="3" max="3" width="18" style="92" bestFit="1" customWidth="1"/>
    <col min="4" max="4" width="13.88671875" style="98" bestFit="1" customWidth="1"/>
    <col min="5" max="5" width="22.88671875" style="92" bestFit="1" customWidth="1"/>
  </cols>
  <sheetData>
    <row r="1" spans="1:5" x14ac:dyDescent="0.3">
      <c r="A1" s="93" t="s">
        <v>75</v>
      </c>
      <c r="B1" s="93" t="s">
        <v>76</v>
      </c>
      <c r="C1" s="93" t="s">
        <v>77</v>
      </c>
      <c r="D1" s="93" t="s">
        <v>78</v>
      </c>
      <c r="E1" s="93" t="s">
        <v>79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47"/>
  <sheetViews>
    <sheetView workbookViewId="0"/>
  </sheetViews>
  <sheetFormatPr baseColWidth="10" defaultRowHeight="14.4" x14ac:dyDescent="0.3"/>
  <cols>
    <col min="2" max="2" width="11.5546875" style="98" customWidth="1"/>
    <col min="3" max="3" width="38.6640625" style="106" bestFit="1" customWidth="1"/>
    <col min="5" max="5" width="15.33203125" style="92" bestFit="1" customWidth="1"/>
    <col min="7" max="7" width="19.44140625" style="106" bestFit="1" customWidth="1"/>
  </cols>
  <sheetData>
    <row r="1" spans="1:7" x14ac:dyDescent="0.3">
      <c r="A1" s="93" t="s">
        <v>80</v>
      </c>
      <c r="B1" s="93" t="s">
        <v>81</v>
      </c>
      <c r="C1" s="93" t="s">
        <v>82</v>
      </c>
      <c r="D1" s="93" t="s">
        <v>83</v>
      </c>
      <c r="E1" s="93" t="s">
        <v>84</v>
      </c>
      <c r="F1" s="93" t="s">
        <v>85</v>
      </c>
      <c r="G1" s="93" t="s">
        <v>86</v>
      </c>
    </row>
    <row r="2" spans="1:7" x14ac:dyDescent="0.3">
      <c r="A2" s="108"/>
      <c r="B2"/>
      <c r="C2"/>
      <c r="E2"/>
      <c r="G2"/>
    </row>
    <row r="3" spans="1:7" x14ac:dyDescent="0.3">
      <c r="A3" s="108"/>
      <c r="B3"/>
      <c r="C3"/>
      <c r="E3"/>
      <c r="G3"/>
    </row>
    <row r="4" spans="1:7" x14ac:dyDescent="0.3">
      <c r="A4" s="108"/>
      <c r="B4"/>
      <c r="C4"/>
      <c r="E4"/>
      <c r="G4"/>
    </row>
    <row r="5" spans="1:7" x14ac:dyDescent="0.3">
      <c r="A5" s="108"/>
      <c r="B5"/>
      <c r="C5"/>
      <c r="E5"/>
      <c r="G5"/>
    </row>
    <row r="6" spans="1:7" x14ac:dyDescent="0.3">
      <c r="A6" s="108"/>
      <c r="B6"/>
      <c r="C6"/>
      <c r="E6"/>
      <c r="G6"/>
    </row>
    <row r="7" spans="1:7" x14ac:dyDescent="0.3">
      <c r="A7" s="108"/>
      <c r="B7"/>
      <c r="C7"/>
      <c r="E7"/>
      <c r="G7"/>
    </row>
    <row r="8" spans="1:7" x14ac:dyDescent="0.3">
      <c r="A8" s="108"/>
      <c r="B8"/>
      <c r="C8"/>
      <c r="E8"/>
      <c r="G8"/>
    </row>
    <row r="9" spans="1:7" x14ac:dyDescent="0.3">
      <c r="A9" s="108"/>
      <c r="B9"/>
      <c r="C9"/>
      <c r="E9"/>
      <c r="G9"/>
    </row>
    <row r="10" spans="1:7" x14ac:dyDescent="0.3">
      <c r="A10" s="108"/>
      <c r="B10"/>
      <c r="C10"/>
      <c r="E10"/>
      <c r="G10"/>
    </row>
    <row r="11" spans="1:7" x14ac:dyDescent="0.3">
      <c r="A11" s="108"/>
      <c r="B11"/>
      <c r="C11"/>
      <c r="E11"/>
      <c r="G11"/>
    </row>
    <row r="12" spans="1:7" x14ac:dyDescent="0.3">
      <c r="A12" s="108"/>
      <c r="B12"/>
      <c r="C12"/>
      <c r="E12"/>
      <c r="G12"/>
    </row>
    <row r="13" spans="1:7" x14ac:dyDescent="0.3">
      <c r="A13" s="108"/>
      <c r="B13"/>
      <c r="C13"/>
      <c r="E13"/>
      <c r="G13"/>
    </row>
    <row r="14" spans="1:7" x14ac:dyDescent="0.3">
      <c r="A14" s="108"/>
      <c r="B14"/>
      <c r="C14"/>
      <c r="E14"/>
      <c r="G14"/>
    </row>
    <row r="15" spans="1:7" x14ac:dyDescent="0.3">
      <c r="A15" s="108"/>
      <c r="B15"/>
      <c r="C15"/>
      <c r="E15"/>
      <c r="G15"/>
    </row>
    <row r="16" spans="1:7" x14ac:dyDescent="0.3">
      <c r="A16" s="108"/>
      <c r="B16"/>
      <c r="C16"/>
      <c r="E16"/>
      <c r="G16"/>
    </row>
    <row r="17" spans="1:7" x14ac:dyDescent="0.3">
      <c r="A17" s="108"/>
      <c r="B17"/>
      <c r="C17"/>
      <c r="E17"/>
      <c r="G17"/>
    </row>
    <row r="18" spans="1:7" x14ac:dyDescent="0.3">
      <c r="A18" s="108"/>
      <c r="B18"/>
      <c r="C18"/>
      <c r="E18"/>
      <c r="G18"/>
    </row>
    <row r="19" spans="1:7" x14ac:dyDescent="0.3">
      <c r="A19" s="108"/>
      <c r="B19"/>
      <c r="C19"/>
      <c r="E19"/>
      <c r="G19"/>
    </row>
    <row r="20" spans="1:7" x14ac:dyDescent="0.3">
      <c r="A20" s="108"/>
      <c r="B20"/>
      <c r="C20"/>
      <c r="E20"/>
      <c r="G20"/>
    </row>
    <row r="21" spans="1:7" x14ac:dyDescent="0.3">
      <c r="A21" s="108"/>
      <c r="B21"/>
      <c r="C21"/>
      <c r="E21"/>
      <c r="G21"/>
    </row>
    <row r="22" spans="1:7" x14ac:dyDescent="0.3">
      <c r="A22" s="108"/>
      <c r="B22"/>
      <c r="C22"/>
      <c r="E22"/>
      <c r="G22"/>
    </row>
    <row r="23" spans="1:7" x14ac:dyDescent="0.3">
      <c r="A23" s="108"/>
      <c r="B23"/>
      <c r="C23"/>
      <c r="E23"/>
      <c r="G23"/>
    </row>
    <row r="24" spans="1:7" x14ac:dyDescent="0.3">
      <c r="A24" s="108"/>
      <c r="B24"/>
      <c r="C24"/>
      <c r="E24"/>
      <c r="G24"/>
    </row>
    <row r="25" spans="1:7" x14ac:dyDescent="0.3">
      <c r="A25" s="108"/>
      <c r="B25"/>
      <c r="C25"/>
      <c r="E25"/>
      <c r="G25"/>
    </row>
    <row r="26" spans="1:7" x14ac:dyDescent="0.3">
      <c r="A26" s="108"/>
      <c r="B26"/>
      <c r="C26"/>
      <c r="E26"/>
      <c r="G26"/>
    </row>
    <row r="27" spans="1:7" x14ac:dyDescent="0.3">
      <c r="A27" s="108"/>
      <c r="B27"/>
      <c r="C27"/>
      <c r="E27"/>
      <c r="G27"/>
    </row>
    <row r="28" spans="1:7" x14ac:dyDescent="0.3">
      <c r="A28" s="108"/>
      <c r="B28"/>
      <c r="C28"/>
      <c r="E28"/>
      <c r="G28"/>
    </row>
    <row r="29" spans="1:7" x14ac:dyDescent="0.3">
      <c r="A29" s="108"/>
      <c r="B29"/>
      <c r="C29"/>
      <c r="E29"/>
      <c r="G29"/>
    </row>
    <row r="30" spans="1:7" x14ac:dyDescent="0.3">
      <c r="A30" s="108"/>
      <c r="B30"/>
      <c r="C30"/>
      <c r="E30"/>
      <c r="G30"/>
    </row>
    <row r="31" spans="1:7" x14ac:dyDescent="0.3">
      <c r="A31" s="108"/>
      <c r="B31"/>
      <c r="C31"/>
      <c r="E31"/>
      <c r="G31"/>
    </row>
    <row r="32" spans="1:7" x14ac:dyDescent="0.3">
      <c r="A32" s="108"/>
      <c r="B32"/>
      <c r="C32"/>
      <c r="E32"/>
      <c r="G32"/>
    </row>
    <row r="33" spans="1:7" x14ac:dyDescent="0.3">
      <c r="A33" s="108"/>
      <c r="B33"/>
      <c r="C33"/>
      <c r="E33"/>
      <c r="G33"/>
    </row>
    <row r="34" spans="1:7" x14ac:dyDescent="0.3">
      <c r="A34" s="108"/>
      <c r="B34"/>
      <c r="C34"/>
      <c r="E34"/>
      <c r="G34"/>
    </row>
    <row r="35" spans="1:7" x14ac:dyDescent="0.3">
      <c r="A35" s="108"/>
      <c r="B35"/>
      <c r="C35"/>
      <c r="E35"/>
      <c r="G35"/>
    </row>
    <row r="36" spans="1:7" x14ac:dyDescent="0.3">
      <c r="A36" s="108"/>
      <c r="B36"/>
      <c r="C36"/>
      <c r="E36"/>
      <c r="G36"/>
    </row>
    <row r="37" spans="1:7" x14ac:dyDescent="0.3">
      <c r="A37" s="108"/>
      <c r="B37"/>
      <c r="C37"/>
      <c r="E37"/>
      <c r="G37"/>
    </row>
    <row r="38" spans="1:7" x14ac:dyDescent="0.3">
      <c r="A38" s="108"/>
      <c r="B38"/>
      <c r="C38"/>
      <c r="E38"/>
      <c r="G38"/>
    </row>
    <row r="39" spans="1:7" x14ac:dyDescent="0.3">
      <c r="A39" s="108"/>
      <c r="B39"/>
      <c r="C39"/>
      <c r="E39"/>
      <c r="G39"/>
    </row>
    <row r="40" spans="1:7" x14ac:dyDescent="0.3">
      <c r="A40" s="108"/>
      <c r="B40"/>
      <c r="C40"/>
      <c r="E40"/>
      <c r="G40"/>
    </row>
    <row r="41" spans="1:7" x14ac:dyDescent="0.3">
      <c r="A41" s="108"/>
      <c r="B41"/>
      <c r="C41"/>
      <c r="E41"/>
      <c r="G41"/>
    </row>
    <row r="42" spans="1:7" x14ac:dyDescent="0.3">
      <c r="A42" s="108"/>
      <c r="B42"/>
      <c r="C42"/>
      <c r="E42"/>
      <c r="G42"/>
    </row>
    <row r="43" spans="1:7" x14ac:dyDescent="0.3">
      <c r="A43" s="108"/>
      <c r="B43"/>
      <c r="C43"/>
      <c r="E43"/>
      <c r="G43"/>
    </row>
    <row r="44" spans="1:7" x14ac:dyDescent="0.3">
      <c r="A44" s="108"/>
      <c r="B44"/>
      <c r="C44"/>
      <c r="E44"/>
      <c r="G44"/>
    </row>
    <row r="45" spans="1:7" x14ac:dyDescent="0.3">
      <c r="A45" s="108"/>
      <c r="B45"/>
      <c r="C45"/>
      <c r="E45"/>
      <c r="G45"/>
    </row>
    <row r="46" spans="1:7" x14ac:dyDescent="0.3">
      <c r="A46" s="108"/>
      <c r="B46"/>
      <c r="C46"/>
      <c r="E46"/>
      <c r="G46"/>
    </row>
    <row r="47" spans="1:7" x14ac:dyDescent="0.3">
      <c r="A47" s="108"/>
      <c r="B47"/>
      <c r="C47"/>
      <c r="E47"/>
      <c r="G47"/>
    </row>
    <row r="48" spans="1:7" x14ac:dyDescent="0.3">
      <c r="A48" s="108"/>
      <c r="B48"/>
      <c r="C48"/>
      <c r="E48"/>
      <c r="G48"/>
    </row>
    <row r="49" spans="1:7" x14ac:dyDescent="0.3">
      <c r="A49" s="108"/>
      <c r="B49"/>
      <c r="C49"/>
      <c r="E49"/>
      <c r="G49"/>
    </row>
    <row r="50" spans="1:7" x14ac:dyDescent="0.3">
      <c r="A50" s="108"/>
      <c r="B50"/>
      <c r="C50"/>
      <c r="E50"/>
      <c r="G50"/>
    </row>
    <row r="51" spans="1:7" x14ac:dyDescent="0.3">
      <c r="A51" s="108"/>
      <c r="B51"/>
      <c r="C51"/>
      <c r="E51"/>
      <c r="G51"/>
    </row>
    <row r="52" spans="1:7" x14ac:dyDescent="0.3">
      <c r="A52" s="108"/>
      <c r="B52"/>
      <c r="C52"/>
      <c r="E52"/>
      <c r="G52"/>
    </row>
    <row r="53" spans="1:7" x14ac:dyDescent="0.3">
      <c r="A53" s="108"/>
      <c r="B53"/>
      <c r="C53"/>
      <c r="E53"/>
      <c r="G53"/>
    </row>
    <row r="54" spans="1:7" x14ac:dyDescent="0.3">
      <c r="A54" s="108"/>
      <c r="B54"/>
      <c r="C54"/>
      <c r="E54"/>
      <c r="G54"/>
    </row>
    <row r="55" spans="1:7" x14ac:dyDescent="0.3">
      <c r="A55" s="108"/>
      <c r="B55"/>
      <c r="C55"/>
      <c r="E55"/>
      <c r="G55"/>
    </row>
    <row r="56" spans="1:7" x14ac:dyDescent="0.3">
      <c r="A56" s="108"/>
      <c r="B56"/>
      <c r="C56"/>
      <c r="E56"/>
      <c r="G56"/>
    </row>
    <row r="57" spans="1:7" x14ac:dyDescent="0.3">
      <c r="A57" s="108"/>
      <c r="B57"/>
      <c r="C57"/>
      <c r="E57"/>
      <c r="G57"/>
    </row>
    <row r="58" spans="1:7" x14ac:dyDescent="0.3">
      <c r="A58" s="108"/>
      <c r="B58"/>
      <c r="C58"/>
      <c r="E58"/>
      <c r="G58"/>
    </row>
    <row r="59" spans="1:7" x14ac:dyDescent="0.3">
      <c r="A59" s="108"/>
      <c r="B59"/>
      <c r="C59"/>
      <c r="E59"/>
      <c r="G59"/>
    </row>
    <row r="60" spans="1:7" x14ac:dyDescent="0.3">
      <c r="A60" s="108"/>
      <c r="B60"/>
      <c r="C60"/>
      <c r="E60"/>
      <c r="G60"/>
    </row>
    <row r="61" spans="1:7" x14ac:dyDescent="0.3">
      <c r="A61" s="108"/>
      <c r="B61"/>
      <c r="C61"/>
      <c r="E61"/>
      <c r="G61"/>
    </row>
    <row r="62" spans="1:7" x14ac:dyDescent="0.3">
      <c r="A62" s="108"/>
      <c r="B62"/>
      <c r="C62"/>
      <c r="E62"/>
      <c r="G62"/>
    </row>
    <row r="63" spans="1:7" x14ac:dyDescent="0.3">
      <c r="A63" s="108"/>
      <c r="B63"/>
      <c r="C63"/>
      <c r="E63"/>
      <c r="G63"/>
    </row>
    <row r="64" spans="1:7" x14ac:dyDescent="0.3">
      <c r="A64" s="108"/>
      <c r="B64"/>
      <c r="C64"/>
      <c r="E64"/>
      <c r="G64"/>
    </row>
    <row r="65" spans="1:7" x14ac:dyDescent="0.3">
      <c r="A65" s="108"/>
      <c r="B65"/>
      <c r="C65"/>
      <c r="E65"/>
      <c r="G65"/>
    </row>
    <row r="66" spans="1:7" x14ac:dyDescent="0.3">
      <c r="A66" s="108"/>
      <c r="B66"/>
      <c r="C66"/>
      <c r="E66"/>
      <c r="G66"/>
    </row>
    <row r="67" spans="1:7" x14ac:dyDescent="0.3">
      <c r="A67" s="108"/>
      <c r="B67"/>
      <c r="C67"/>
      <c r="E67"/>
      <c r="G67"/>
    </row>
    <row r="68" spans="1:7" x14ac:dyDescent="0.3">
      <c r="A68" s="108"/>
      <c r="B68"/>
      <c r="C68"/>
      <c r="E68"/>
      <c r="G68"/>
    </row>
    <row r="69" spans="1:7" x14ac:dyDescent="0.3">
      <c r="A69" s="108"/>
      <c r="B69"/>
      <c r="C69"/>
      <c r="E69"/>
      <c r="G69"/>
    </row>
    <row r="70" spans="1:7" x14ac:dyDescent="0.3">
      <c r="A70" s="108"/>
      <c r="B70"/>
      <c r="C70"/>
      <c r="E70"/>
      <c r="G70"/>
    </row>
    <row r="71" spans="1:7" x14ac:dyDescent="0.3">
      <c r="A71" s="108"/>
      <c r="B71"/>
      <c r="C71"/>
      <c r="E71"/>
      <c r="G71"/>
    </row>
    <row r="72" spans="1:7" x14ac:dyDescent="0.3">
      <c r="A72" s="108"/>
      <c r="B72"/>
      <c r="C72"/>
      <c r="E72"/>
      <c r="G72"/>
    </row>
    <row r="73" spans="1:7" x14ac:dyDescent="0.3">
      <c r="A73" s="108"/>
      <c r="B73"/>
      <c r="C73"/>
      <c r="E73"/>
      <c r="G73"/>
    </row>
    <row r="74" spans="1:7" x14ac:dyDescent="0.3">
      <c r="A74" s="108"/>
      <c r="B74"/>
      <c r="C74"/>
      <c r="E74"/>
      <c r="G74"/>
    </row>
    <row r="75" spans="1:7" x14ac:dyDescent="0.3">
      <c r="A75" s="108"/>
      <c r="B75"/>
      <c r="C75"/>
      <c r="E75"/>
      <c r="G75"/>
    </row>
    <row r="76" spans="1:7" x14ac:dyDescent="0.3">
      <c r="A76" s="108"/>
      <c r="B76"/>
      <c r="C76"/>
      <c r="E76"/>
      <c r="G76"/>
    </row>
    <row r="77" spans="1:7" x14ac:dyDescent="0.3">
      <c r="A77" s="108"/>
      <c r="B77"/>
      <c r="C77"/>
      <c r="E77"/>
      <c r="G77"/>
    </row>
    <row r="78" spans="1:7" x14ac:dyDescent="0.3">
      <c r="A78" s="108"/>
      <c r="B78"/>
      <c r="C78"/>
      <c r="E78"/>
      <c r="G78"/>
    </row>
    <row r="79" spans="1:7" x14ac:dyDescent="0.3">
      <c r="A79" s="108"/>
      <c r="B79"/>
      <c r="C79"/>
      <c r="E79"/>
      <c r="G79"/>
    </row>
    <row r="80" spans="1:7" x14ac:dyDescent="0.3">
      <c r="A80" s="108"/>
      <c r="B80"/>
      <c r="C80"/>
      <c r="E80"/>
      <c r="G80"/>
    </row>
    <row r="81" spans="1:7" x14ac:dyDescent="0.3">
      <c r="A81" s="108"/>
      <c r="B81"/>
      <c r="C81"/>
      <c r="E81"/>
      <c r="G81"/>
    </row>
    <row r="82" spans="1:7" x14ac:dyDescent="0.3">
      <c r="A82" s="108"/>
      <c r="B82"/>
      <c r="C82"/>
      <c r="E82"/>
      <c r="G82"/>
    </row>
    <row r="83" spans="1:7" x14ac:dyDescent="0.3">
      <c r="A83" s="108"/>
      <c r="B83"/>
      <c r="C83"/>
      <c r="E83"/>
      <c r="G83"/>
    </row>
    <row r="84" spans="1:7" x14ac:dyDescent="0.3">
      <c r="A84" s="108"/>
      <c r="B84"/>
      <c r="C84"/>
      <c r="E84"/>
      <c r="G84"/>
    </row>
    <row r="85" spans="1:7" x14ac:dyDescent="0.3">
      <c r="A85" s="108"/>
      <c r="B85"/>
      <c r="C85"/>
      <c r="E85"/>
      <c r="G85"/>
    </row>
    <row r="86" spans="1:7" x14ac:dyDescent="0.3">
      <c r="A86" s="108"/>
      <c r="B86"/>
      <c r="C86"/>
      <c r="E86"/>
      <c r="G86"/>
    </row>
    <row r="87" spans="1:7" x14ac:dyDescent="0.3">
      <c r="A87" s="108"/>
      <c r="B87"/>
      <c r="C87"/>
      <c r="E87"/>
      <c r="G87"/>
    </row>
    <row r="88" spans="1:7" x14ac:dyDescent="0.3">
      <c r="A88" s="108"/>
      <c r="B88"/>
      <c r="C88"/>
      <c r="E88"/>
      <c r="G88"/>
    </row>
    <row r="89" spans="1:7" x14ac:dyDescent="0.3">
      <c r="A89" s="108"/>
      <c r="B89"/>
      <c r="C89"/>
      <c r="E89"/>
      <c r="G89"/>
    </row>
    <row r="90" spans="1:7" x14ac:dyDescent="0.3">
      <c r="A90" s="108"/>
      <c r="B90"/>
      <c r="C90"/>
      <c r="E90"/>
      <c r="G90"/>
    </row>
    <row r="91" spans="1:7" x14ac:dyDescent="0.3">
      <c r="A91" s="108"/>
      <c r="B91"/>
      <c r="C91"/>
      <c r="E91"/>
      <c r="G91"/>
    </row>
    <row r="92" spans="1:7" x14ac:dyDescent="0.3">
      <c r="A92" s="108"/>
      <c r="B92"/>
      <c r="C92"/>
      <c r="E92"/>
      <c r="G92"/>
    </row>
    <row r="93" spans="1:7" x14ac:dyDescent="0.3">
      <c r="A93" s="108"/>
    </row>
    <row r="94" spans="1:7" x14ac:dyDescent="0.3">
      <c r="A94" s="108"/>
    </row>
    <row r="95" spans="1:7" x14ac:dyDescent="0.3">
      <c r="A95" s="108"/>
    </row>
    <row r="96" spans="1:7" x14ac:dyDescent="0.3">
      <c r="A96" s="108"/>
    </row>
    <row r="97" spans="1:1" x14ac:dyDescent="0.3">
      <c r="A97" s="108"/>
    </row>
    <row r="98" spans="1:1" x14ac:dyDescent="0.3">
      <c r="A98" s="108"/>
    </row>
    <row r="99" spans="1:1" x14ac:dyDescent="0.3">
      <c r="A99" s="108"/>
    </row>
    <row r="100" spans="1:1" x14ac:dyDescent="0.3">
      <c r="A100" s="108"/>
    </row>
    <row r="101" spans="1:1" x14ac:dyDescent="0.3">
      <c r="A101" s="108"/>
    </row>
    <row r="102" spans="1:1" x14ac:dyDescent="0.3">
      <c r="A102" s="108"/>
    </row>
    <row r="103" spans="1:1" x14ac:dyDescent="0.3">
      <c r="A103" s="108"/>
    </row>
    <row r="104" spans="1:1" x14ac:dyDescent="0.3">
      <c r="A104" s="108"/>
    </row>
    <row r="105" spans="1:1" x14ac:dyDescent="0.3">
      <c r="A105" s="108"/>
    </row>
    <row r="106" spans="1:1" x14ac:dyDescent="0.3">
      <c r="A106" s="108"/>
    </row>
    <row r="107" spans="1:1" x14ac:dyDescent="0.3">
      <c r="A107" s="108"/>
    </row>
    <row r="108" spans="1:1" x14ac:dyDescent="0.3">
      <c r="A108" s="108"/>
    </row>
    <row r="109" spans="1:1" x14ac:dyDescent="0.3">
      <c r="A109" s="108"/>
    </row>
    <row r="110" spans="1:1" x14ac:dyDescent="0.3">
      <c r="A110" s="108"/>
    </row>
    <row r="111" spans="1:1" x14ac:dyDescent="0.3">
      <c r="A111" s="108"/>
    </row>
    <row r="112" spans="1:1" x14ac:dyDescent="0.3">
      <c r="A112" s="108"/>
    </row>
    <row r="113" spans="1:1" x14ac:dyDescent="0.3">
      <c r="A113" s="108"/>
    </row>
    <row r="114" spans="1:1" x14ac:dyDescent="0.3">
      <c r="A114" s="108"/>
    </row>
    <row r="115" spans="1:1" x14ac:dyDescent="0.3">
      <c r="A115" s="108"/>
    </row>
    <row r="116" spans="1:1" x14ac:dyDescent="0.3">
      <c r="A116" s="108"/>
    </row>
    <row r="117" spans="1:1" x14ac:dyDescent="0.3">
      <c r="A117" s="108"/>
    </row>
    <row r="118" spans="1:1" x14ac:dyDescent="0.3">
      <c r="A118" s="108"/>
    </row>
    <row r="119" spans="1:1" x14ac:dyDescent="0.3">
      <c r="A119" s="108"/>
    </row>
    <row r="120" spans="1:1" x14ac:dyDescent="0.3">
      <c r="A120" s="108"/>
    </row>
    <row r="121" spans="1:1" x14ac:dyDescent="0.3">
      <c r="A121" s="108"/>
    </row>
    <row r="122" spans="1:1" x14ac:dyDescent="0.3">
      <c r="A122" s="108"/>
    </row>
    <row r="123" spans="1:1" x14ac:dyDescent="0.3">
      <c r="A123" s="108"/>
    </row>
    <row r="124" spans="1:1" x14ac:dyDescent="0.3">
      <c r="A124" s="108"/>
    </row>
    <row r="125" spans="1:1" x14ac:dyDescent="0.3">
      <c r="A125" s="108"/>
    </row>
    <row r="126" spans="1:1" x14ac:dyDescent="0.3">
      <c r="A126" s="108"/>
    </row>
    <row r="127" spans="1:1" x14ac:dyDescent="0.3">
      <c r="A127" s="108"/>
    </row>
    <row r="128" spans="1:1" x14ac:dyDescent="0.3">
      <c r="A128" s="108"/>
    </row>
    <row r="129" spans="1:1" x14ac:dyDescent="0.3">
      <c r="A129" s="108"/>
    </row>
    <row r="130" spans="1:1" x14ac:dyDescent="0.3">
      <c r="A130" s="108"/>
    </row>
    <row r="131" spans="1:1" x14ac:dyDescent="0.3">
      <c r="A131" s="108"/>
    </row>
    <row r="132" spans="1:1" x14ac:dyDescent="0.3">
      <c r="A132" s="108"/>
    </row>
    <row r="133" spans="1:1" x14ac:dyDescent="0.3">
      <c r="A133" s="108"/>
    </row>
    <row r="134" spans="1:1" x14ac:dyDescent="0.3">
      <c r="A134" s="108"/>
    </row>
    <row r="135" spans="1:1" x14ac:dyDescent="0.3">
      <c r="A135" s="108"/>
    </row>
    <row r="136" spans="1:1" x14ac:dyDescent="0.3">
      <c r="A136" s="108"/>
    </row>
    <row r="137" spans="1:1" x14ac:dyDescent="0.3">
      <c r="A137" s="108"/>
    </row>
    <row r="138" spans="1:1" x14ac:dyDescent="0.3">
      <c r="A138" s="108"/>
    </row>
    <row r="139" spans="1:1" x14ac:dyDescent="0.3">
      <c r="A139" s="108"/>
    </row>
    <row r="140" spans="1:1" x14ac:dyDescent="0.3">
      <c r="A140" s="108"/>
    </row>
    <row r="141" spans="1:1" x14ac:dyDescent="0.3">
      <c r="A141" s="108"/>
    </row>
    <row r="142" spans="1:1" x14ac:dyDescent="0.3">
      <c r="A142" s="108"/>
    </row>
    <row r="143" spans="1:1" x14ac:dyDescent="0.3">
      <c r="A143" s="108"/>
    </row>
    <row r="144" spans="1:1" x14ac:dyDescent="0.3">
      <c r="A144" s="108"/>
    </row>
    <row r="145" spans="1:1" x14ac:dyDescent="0.3">
      <c r="A145" s="108"/>
    </row>
    <row r="146" spans="1:1" x14ac:dyDescent="0.3">
      <c r="A146" s="108"/>
    </row>
    <row r="147" spans="1:1" x14ac:dyDescent="0.3">
      <c r="A147" s="108"/>
    </row>
    <row r="148" spans="1:1" x14ac:dyDescent="0.3">
      <c r="A148" s="108"/>
    </row>
    <row r="149" spans="1:1" x14ac:dyDescent="0.3">
      <c r="A149" s="108"/>
    </row>
    <row r="150" spans="1:1" x14ac:dyDescent="0.3">
      <c r="A150" s="108"/>
    </row>
    <row r="151" spans="1:1" x14ac:dyDescent="0.3">
      <c r="A151" s="108"/>
    </row>
    <row r="152" spans="1:1" x14ac:dyDescent="0.3">
      <c r="A152" s="108"/>
    </row>
    <row r="153" spans="1:1" x14ac:dyDescent="0.3">
      <c r="A153" s="108"/>
    </row>
    <row r="154" spans="1:1" x14ac:dyDescent="0.3">
      <c r="A154" s="108"/>
    </row>
    <row r="155" spans="1:1" x14ac:dyDescent="0.3">
      <c r="A155" s="108"/>
    </row>
    <row r="156" spans="1:1" x14ac:dyDescent="0.3">
      <c r="A156" s="108"/>
    </row>
    <row r="157" spans="1:1" x14ac:dyDescent="0.3">
      <c r="A157" s="108"/>
    </row>
    <row r="158" spans="1:1" x14ac:dyDescent="0.3">
      <c r="A158" s="108"/>
    </row>
    <row r="159" spans="1:1" x14ac:dyDescent="0.3">
      <c r="A159" s="108"/>
    </row>
    <row r="160" spans="1:1" x14ac:dyDescent="0.3">
      <c r="A160" s="108"/>
    </row>
    <row r="161" spans="1:1" x14ac:dyDescent="0.3">
      <c r="A161" s="108"/>
    </row>
    <row r="162" spans="1:1" x14ac:dyDescent="0.3">
      <c r="A162" s="108"/>
    </row>
    <row r="163" spans="1:1" x14ac:dyDescent="0.3">
      <c r="A163" s="108"/>
    </row>
    <row r="164" spans="1:1" x14ac:dyDescent="0.3">
      <c r="A164" s="108"/>
    </row>
    <row r="165" spans="1:1" x14ac:dyDescent="0.3">
      <c r="A165" s="108"/>
    </row>
    <row r="166" spans="1:1" x14ac:dyDescent="0.3">
      <c r="A166" s="108"/>
    </row>
    <row r="167" spans="1:1" x14ac:dyDescent="0.3">
      <c r="A167" s="108"/>
    </row>
    <row r="168" spans="1:1" x14ac:dyDescent="0.3">
      <c r="A168" s="108"/>
    </row>
    <row r="169" spans="1:1" x14ac:dyDescent="0.3">
      <c r="A169" s="108"/>
    </row>
    <row r="170" spans="1:1" x14ac:dyDescent="0.3">
      <c r="A170" s="108"/>
    </row>
    <row r="171" spans="1:1" x14ac:dyDescent="0.3">
      <c r="A171" s="108"/>
    </row>
    <row r="172" spans="1:1" x14ac:dyDescent="0.3">
      <c r="A172" s="108"/>
    </row>
    <row r="173" spans="1:1" x14ac:dyDescent="0.3">
      <c r="A173" s="108"/>
    </row>
    <row r="174" spans="1:1" x14ac:dyDescent="0.3">
      <c r="A174" s="108"/>
    </row>
    <row r="175" spans="1:1" x14ac:dyDescent="0.3">
      <c r="A175" s="108"/>
    </row>
    <row r="176" spans="1:1" x14ac:dyDescent="0.3">
      <c r="A176" s="108"/>
    </row>
    <row r="177" spans="1:1" x14ac:dyDescent="0.3">
      <c r="A177" s="108"/>
    </row>
    <row r="178" spans="1:1" x14ac:dyDescent="0.3">
      <c r="A178" s="108"/>
    </row>
    <row r="179" spans="1:1" x14ac:dyDescent="0.3">
      <c r="A179" s="108"/>
    </row>
    <row r="180" spans="1:1" x14ac:dyDescent="0.3">
      <c r="A180" s="108"/>
    </row>
    <row r="181" spans="1:1" x14ac:dyDescent="0.3">
      <c r="A181" s="108"/>
    </row>
    <row r="182" spans="1:1" x14ac:dyDescent="0.3">
      <c r="A182" s="108"/>
    </row>
    <row r="183" spans="1:1" x14ac:dyDescent="0.3">
      <c r="A183" s="108"/>
    </row>
    <row r="184" spans="1:1" x14ac:dyDescent="0.3">
      <c r="A184" s="108"/>
    </row>
    <row r="185" spans="1:1" x14ac:dyDescent="0.3">
      <c r="A185" s="108"/>
    </row>
    <row r="186" spans="1:1" x14ac:dyDescent="0.3">
      <c r="A186" s="108"/>
    </row>
    <row r="187" spans="1:1" x14ac:dyDescent="0.3">
      <c r="A187" s="108"/>
    </row>
    <row r="188" spans="1:1" x14ac:dyDescent="0.3">
      <c r="A188" s="108"/>
    </row>
    <row r="189" spans="1:1" x14ac:dyDescent="0.3">
      <c r="A189" s="108"/>
    </row>
    <row r="190" spans="1:1" x14ac:dyDescent="0.3">
      <c r="A190" s="108"/>
    </row>
    <row r="191" spans="1:1" x14ac:dyDescent="0.3">
      <c r="A191" s="108"/>
    </row>
    <row r="192" spans="1:1" x14ac:dyDescent="0.3">
      <c r="A192" s="108"/>
    </row>
    <row r="193" spans="1:1" x14ac:dyDescent="0.3">
      <c r="A193" s="108"/>
    </row>
    <row r="194" spans="1:1" x14ac:dyDescent="0.3">
      <c r="A194" s="108"/>
    </row>
    <row r="195" spans="1:1" x14ac:dyDescent="0.3">
      <c r="A195" s="108"/>
    </row>
    <row r="196" spans="1:1" x14ac:dyDescent="0.3">
      <c r="A196" s="108"/>
    </row>
    <row r="197" spans="1:1" x14ac:dyDescent="0.3">
      <c r="A197" s="108"/>
    </row>
    <row r="198" spans="1:1" x14ac:dyDescent="0.3">
      <c r="A198" s="108"/>
    </row>
    <row r="199" spans="1:1" x14ac:dyDescent="0.3">
      <c r="A199" s="108"/>
    </row>
    <row r="200" spans="1:1" x14ac:dyDescent="0.3">
      <c r="A200" s="108"/>
    </row>
    <row r="201" spans="1:1" x14ac:dyDescent="0.3">
      <c r="A201" s="108"/>
    </row>
    <row r="202" spans="1:1" x14ac:dyDescent="0.3">
      <c r="A202" s="108"/>
    </row>
    <row r="203" spans="1:1" x14ac:dyDescent="0.3">
      <c r="A203" s="108"/>
    </row>
    <row r="204" spans="1:1" x14ac:dyDescent="0.3">
      <c r="A204" s="108"/>
    </row>
    <row r="205" spans="1:1" x14ac:dyDescent="0.3">
      <c r="A205" s="108"/>
    </row>
    <row r="206" spans="1:1" x14ac:dyDescent="0.3">
      <c r="A206" s="108"/>
    </row>
    <row r="207" spans="1:1" x14ac:dyDescent="0.3">
      <c r="A207" s="108"/>
    </row>
    <row r="208" spans="1:1" x14ac:dyDescent="0.3">
      <c r="A208" s="108"/>
    </row>
    <row r="209" spans="1:1" x14ac:dyDescent="0.3">
      <c r="A209" s="108"/>
    </row>
    <row r="210" spans="1:1" x14ac:dyDescent="0.3">
      <c r="A210" s="108"/>
    </row>
    <row r="211" spans="1:1" x14ac:dyDescent="0.3">
      <c r="A211" s="108"/>
    </row>
    <row r="212" spans="1:1" x14ac:dyDescent="0.3">
      <c r="A212" s="108"/>
    </row>
    <row r="213" spans="1:1" x14ac:dyDescent="0.3">
      <c r="A213" s="108"/>
    </row>
    <row r="214" spans="1:1" x14ac:dyDescent="0.3">
      <c r="A214" s="108"/>
    </row>
    <row r="215" spans="1:1" x14ac:dyDescent="0.3">
      <c r="A215" s="108"/>
    </row>
    <row r="216" spans="1:1" x14ac:dyDescent="0.3">
      <c r="A216" s="108"/>
    </row>
    <row r="217" spans="1:1" x14ac:dyDescent="0.3">
      <c r="A217" s="108"/>
    </row>
    <row r="218" spans="1:1" x14ac:dyDescent="0.3">
      <c r="A218" s="108"/>
    </row>
    <row r="219" spans="1:1" x14ac:dyDescent="0.3">
      <c r="A219" s="108"/>
    </row>
    <row r="220" spans="1:1" x14ac:dyDescent="0.3">
      <c r="A220" s="108"/>
    </row>
    <row r="221" spans="1:1" x14ac:dyDescent="0.3">
      <c r="A221" s="108"/>
    </row>
    <row r="222" spans="1:1" x14ac:dyDescent="0.3">
      <c r="A222" s="108"/>
    </row>
    <row r="223" spans="1:1" x14ac:dyDescent="0.3">
      <c r="A223" s="108"/>
    </row>
    <row r="224" spans="1:1" x14ac:dyDescent="0.3">
      <c r="A224" s="108"/>
    </row>
    <row r="225" spans="1:1" x14ac:dyDescent="0.3">
      <c r="A225" s="108"/>
    </row>
    <row r="226" spans="1:1" x14ac:dyDescent="0.3">
      <c r="A226" s="108"/>
    </row>
    <row r="227" spans="1:1" x14ac:dyDescent="0.3">
      <c r="A227" s="108"/>
    </row>
    <row r="228" spans="1:1" x14ac:dyDescent="0.3">
      <c r="A228" s="108"/>
    </row>
    <row r="229" spans="1:1" x14ac:dyDescent="0.3">
      <c r="A229" s="108"/>
    </row>
    <row r="230" spans="1:1" x14ac:dyDescent="0.3">
      <c r="A230" s="108"/>
    </row>
    <row r="231" spans="1:1" x14ac:dyDescent="0.3">
      <c r="A231" s="108"/>
    </row>
    <row r="232" spans="1:1" x14ac:dyDescent="0.3">
      <c r="A232" s="108"/>
    </row>
    <row r="233" spans="1:1" x14ac:dyDescent="0.3">
      <c r="A233" s="108"/>
    </row>
    <row r="234" spans="1:1" x14ac:dyDescent="0.3">
      <c r="A234" s="108"/>
    </row>
    <row r="235" spans="1:1" x14ac:dyDescent="0.3">
      <c r="A235" s="108"/>
    </row>
    <row r="236" spans="1:1" x14ac:dyDescent="0.3">
      <c r="A236" s="108"/>
    </row>
    <row r="237" spans="1:1" x14ac:dyDescent="0.3">
      <c r="A237" s="108"/>
    </row>
    <row r="238" spans="1:1" x14ac:dyDescent="0.3">
      <c r="A238" s="108"/>
    </row>
    <row r="239" spans="1:1" x14ac:dyDescent="0.3">
      <c r="A239" s="108"/>
    </row>
    <row r="240" spans="1:1" x14ac:dyDescent="0.3">
      <c r="A240" s="108"/>
    </row>
    <row r="241" spans="1:1" x14ac:dyDescent="0.3">
      <c r="A241" s="108"/>
    </row>
    <row r="242" spans="1:1" x14ac:dyDescent="0.3">
      <c r="A242" s="108"/>
    </row>
    <row r="243" spans="1:1" x14ac:dyDescent="0.3">
      <c r="A243" s="108"/>
    </row>
    <row r="244" spans="1:1" x14ac:dyDescent="0.3">
      <c r="A244" s="108"/>
    </row>
    <row r="245" spans="1:1" x14ac:dyDescent="0.3">
      <c r="A245" s="108"/>
    </row>
    <row r="246" spans="1:1" x14ac:dyDescent="0.3">
      <c r="A246" s="108"/>
    </row>
    <row r="247" spans="1:1" x14ac:dyDescent="0.3">
      <c r="A247" s="108"/>
    </row>
    <row r="248" spans="1:1" x14ac:dyDescent="0.3">
      <c r="A248" s="108"/>
    </row>
    <row r="249" spans="1:1" x14ac:dyDescent="0.3">
      <c r="A249" s="108"/>
    </row>
    <row r="250" spans="1:1" x14ac:dyDescent="0.3">
      <c r="A250" s="108"/>
    </row>
    <row r="251" spans="1:1" x14ac:dyDescent="0.3">
      <c r="A251" s="108"/>
    </row>
    <row r="252" spans="1:1" x14ac:dyDescent="0.3">
      <c r="A252" s="108"/>
    </row>
    <row r="253" spans="1:1" x14ac:dyDescent="0.3">
      <c r="A253" s="108"/>
    </row>
    <row r="254" spans="1:1" x14ac:dyDescent="0.3">
      <c r="A254" s="108"/>
    </row>
    <row r="255" spans="1:1" x14ac:dyDescent="0.3">
      <c r="A255" s="108"/>
    </row>
    <row r="256" spans="1:1" x14ac:dyDescent="0.3">
      <c r="A256" s="108"/>
    </row>
    <row r="257" spans="1:1" x14ac:dyDescent="0.3">
      <c r="A257" s="108"/>
    </row>
    <row r="258" spans="1:1" x14ac:dyDescent="0.3">
      <c r="A258" s="108"/>
    </row>
    <row r="259" spans="1:1" x14ac:dyDescent="0.3">
      <c r="A259" s="108"/>
    </row>
    <row r="260" spans="1:1" x14ac:dyDescent="0.3">
      <c r="A260" s="108"/>
    </row>
    <row r="261" spans="1:1" x14ac:dyDescent="0.3">
      <c r="A261" s="108"/>
    </row>
    <row r="262" spans="1:1" x14ac:dyDescent="0.3">
      <c r="A262" s="108"/>
    </row>
    <row r="263" spans="1:1" x14ac:dyDescent="0.3">
      <c r="A263" s="108"/>
    </row>
    <row r="264" spans="1:1" x14ac:dyDescent="0.3">
      <c r="A264" s="108"/>
    </row>
    <row r="265" spans="1:1" x14ac:dyDescent="0.3">
      <c r="A265" s="108"/>
    </row>
    <row r="266" spans="1:1" x14ac:dyDescent="0.3">
      <c r="A266" s="108"/>
    </row>
    <row r="267" spans="1:1" x14ac:dyDescent="0.3">
      <c r="A267" s="108"/>
    </row>
    <row r="268" spans="1:1" x14ac:dyDescent="0.3">
      <c r="A268" s="108"/>
    </row>
    <row r="269" spans="1:1" x14ac:dyDescent="0.3">
      <c r="A269" s="108"/>
    </row>
    <row r="270" spans="1:1" x14ac:dyDescent="0.3">
      <c r="A270" s="108"/>
    </row>
    <row r="271" spans="1:1" x14ac:dyDescent="0.3">
      <c r="A271" s="108"/>
    </row>
    <row r="272" spans="1:1" x14ac:dyDescent="0.3">
      <c r="A272" s="108"/>
    </row>
    <row r="273" spans="1:1" x14ac:dyDescent="0.3">
      <c r="A273" s="108"/>
    </row>
    <row r="274" spans="1:1" x14ac:dyDescent="0.3">
      <c r="A274" s="108"/>
    </row>
    <row r="275" spans="1:1" x14ac:dyDescent="0.3">
      <c r="A275" s="108"/>
    </row>
    <row r="276" spans="1:1" x14ac:dyDescent="0.3">
      <c r="A276" s="108"/>
    </row>
    <row r="277" spans="1:1" x14ac:dyDescent="0.3">
      <c r="A277" s="108"/>
    </row>
    <row r="278" spans="1:1" x14ac:dyDescent="0.3">
      <c r="A278" s="108"/>
    </row>
    <row r="279" spans="1:1" x14ac:dyDescent="0.3">
      <c r="A279" s="108"/>
    </row>
    <row r="280" spans="1:1" x14ac:dyDescent="0.3">
      <c r="A280" s="108"/>
    </row>
    <row r="281" spans="1:1" x14ac:dyDescent="0.3">
      <c r="A281" s="108"/>
    </row>
    <row r="282" spans="1:1" x14ac:dyDescent="0.3">
      <c r="A282" s="108"/>
    </row>
    <row r="283" spans="1:1" x14ac:dyDescent="0.3">
      <c r="A283" s="108"/>
    </row>
    <row r="284" spans="1:1" x14ac:dyDescent="0.3">
      <c r="A284" s="108"/>
    </row>
    <row r="285" spans="1:1" x14ac:dyDescent="0.3">
      <c r="A285" s="108"/>
    </row>
    <row r="286" spans="1:1" x14ac:dyDescent="0.3">
      <c r="A286" s="108"/>
    </row>
    <row r="287" spans="1:1" x14ac:dyDescent="0.3">
      <c r="A287" s="108"/>
    </row>
    <row r="288" spans="1:1" x14ac:dyDescent="0.3">
      <c r="A288" s="108"/>
    </row>
    <row r="289" spans="1:1" x14ac:dyDescent="0.3">
      <c r="A289" s="108"/>
    </row>
    <row r="290" spans="1:1" x14ac:dyDescent="0.3">
      <c r="A290" s="108"/>
    </row>
    <row r="291" spans="1:1" x14ac:dyDescent="0.3">
      <c r="A291" s="108"/>
    </row>
    <row r="292" spans="1:1" x14ac:dyDescent="0.3">
      <c r="A292" s="108"/>
    </row>
    <row r="293" spans="1:1" x14ac:dyDescent="0.3">
      <c r="A293" s="108"/>
    </row>
    <row r="294" spans="1:1" x14ac:dyDescent="0.3">
      <c r="A294" s="108"/>
    </row>
    <row r="295" spans="1:1" x14ac:dyDescent="0.3">
      <c r="A295" s="108"/>
    </row>
    <row r="296" spans="1:1" x14ac:dyDescent="0.3">
      <c r="A296" s="108"/>
    </row>
    <row r="297" spans="1:1" x14ac:dyDescent="0.3">
      <c r="A297" s="108"/>
    </row>
    <row r="298" spans="1:1" x14ac:dyDescent="0.3">
      <c r="A298" s="108"/>
    </row>
    <row r="299" spans="1:1" x14ac:dyDescent="0.3">
      <c r="A299" s="108"/>
    </row>
    <row r="300" spans="1:1" x14ac:dyDescent="0.3">
      <c r="A300" s="108"/>
    </row>
    <row r="301" spans="1:1" x14ac:dyDescent="0.3">
      <c r="A301" s="108"/>
    </row>
    <row r="302" spans="1:1" x14ac:dyDescent="0.3">
      <c r="A302" s="108"/>
    </row>
    <row r="303" spans="1:1" x14ac:dyDescent="0.3">
      <c r="A303" s="108"/>
    </row>
    <row r="304" spans="1:1" x14ac:dyDescent="0.3">
      <c r="A304" s="108"/>
    </row>
    <row r="305" spans="1:1" x14ac:dyDescent="0.3">
      <c r="A305" s="108"/>
    </row>
    <row r="306" spans="1:1" x14ac:dyDescent="0.3">
      <c r="A306" s="108"/>
    </row>
    <row r="307" spans="1:1" x14ac:dyDescent="0.3">
      <c r="A307" s="108"/>
    </row>
    <row r="308" spans="1:1" x14ac:dyDescent="0.3">
      <c r="A308" s="108"/>
    </row>
    <row r="309" spans="1:1" x14ac:dyDescent="0.3">
      <c r="A309" s="108"/>
    </row>
    <row r="310" spans="1:1" x14ac:dyDescent="0.3">
      <c r="A310" s="108"/>
    </row>
    <row r="311" spans="1:1" x14ac:dyDescent="0.3">
      <c r="A311" s="108"/>
    </row>
    <row r="312" spans="1:1" x14ac:dyDescent="0.3">
      <c r="A312" s="108"/>
    </row>
    <row r="313" spans="1:1" x14ac:dyDescent="0.3">
      <c r="A313" s="108"/>
    </row>
    <row r="314" spans="1:1" x14ac:dyDescent="0.3">
      <c r="A314" s="108"/>
    </row>
    <row r="315" spans="1:1" x14ac:dyDescent="0.3">
      <c r="A315" s="108"/>
    </row>
    <row r="316" spans="1:1" x14ac:dyDescent="0.3">
      <c r="A316" s="108"/>
    </row>
    <row r="317" spans="1:1" x14ac:dyDescent="0.3">
      <c r="A317" s="108"/>
    </row>
    <row r="318" spans="1:1" x14ac:dyDescent="0.3">
      <c r="A318" s="108"/>
    </row>
    <row r="319" spans="1:1" x14ac:dyDescent="0.3">
      <c r="A319" s="108"/>
    </row>
    <row r="320" spans="1:1" x14ac:dyDescent="0.3">
      <c r="A320" s="108"/>
    </row>
    <row r="321" spans="1:1" x14ac:dyDescent="0.3">
      <c r="A321" s="108"/>
    </row>
    <row r="322" spans="1:1" x14ac:dyDescent="0.3">
      <c r="A322" s="108"/>
    </row>
    <row r="323" spans="1:1" x14ac:dyDescent="0.3">
      <c r="A323" s="108"/>
    </row>
    <row r="324" spans="1:1" x14ac:dyDescent="0.3">
      <c r="A324" s="108"/>
    </row>
    <row r="325" spans="1:1" x14ac:dyDescent="0.3">
      <c r="A325" s="108"/>
    </row>
    <row r="326" spans="1:1" x14ac:dyDescent="0.3">
      <c r="A326" s="108"/>
    </row>
    <row r="327" spans="1:1" x14ac:dyDescent="0.3">
      <c r="A327" s="108"/>
    </row>
    <row r="328" spans="1:1" x14ac:dyDescent="0.3">
      <c r="A328" s="108"/>
    </row>
    <row r="329" spans="1:1" x14ac:dyDescent="0.3">
      <c r="A329" s="108"/>
    </row>
    <row r="330" spans="1:1" x14ac:dyDescent="0.3">
      <c r="A330" s="108"/>
    </row>
    <row r="331" spans="1:1" x14ac:dyDescent="0.3">
      <c r="A331" s="108"/>
    </row>
    <row r="332" spans="1:1" x14ac:dyDescent="0.3">
      <c r="A332" s="108"/>
    </row>
    <row r="333" spans="1:1" x14ac:dyDescent="0.3">
      <c r="A333" s="108"/>
    </row>
    <row r="334" spans="1:1" x14ac:dyDescent="0.3">
      <c r="A334" s="108"/>
    </row>
    <row r="335" spans="1:1" x14ac:dyDescent="0.3">
      <c r="A335" s="108"/>
    </row>
    <row r="336" spans="1:1" x14ac:dyDescent="0.3">
      <c r="A336" s="108"/>
    </row>
    <row r="337" spans="1:1" x14ac:dyDescent="0.3">
      <c r="A337" s="108"/>
    </row>
    <row r="338" spans="1:1" x14ac:dyDescent="0.3">
      <c r="A338" s="108"/>
    </row>
    <row r="339" spans="1:1" x14ac:dyDescent="0.3">
      <c r="A339" s="108"/>
    </row>
    <row r="340" spans="1:1" x14ac:dyDescent="0.3">
      <c r="A340" s="108"/>
    </row>
    <row r="341" spans="1:1" x14ac:dyDescent="0.3">
      <c r="A341" s="108"/>
    </row>
    <row r="342" spans="1:1" x14ac:dyDescent="0.3">
      <c r="A342" s="108"/>
    </row>
    <row r="343" spans="1:1" x14ac:dyDescent="0.3">
      <c r="A343" s="108"/>
    </row>
    <row r="344" spans="1:1" x14ac:dyDescent="0.3">
      <c r="A344" s="108"/>
    </row>
    <row r="345" spans="1:1" x14ac:dyDescent="0.3">
      <c r="A345" s="108"/>
    </row>
    <row r="346" spans="1:1" x14ac:dyDescent="0.3">
      <c r="A346" s="108"/>
    </row>
    <row r="347" spans="1:1" x14ac:dyDescent="0.3">
      <c r="A347" s="108"/>
    </row>
    <row r="348" spans="1:1" x14ac:dyDescent="0.3">
      <c r="A348" s="108"/>
    </row>
    <row r="349" spans="1:1" x14ac:dyDescent="0.3">
      <c r="A349" s="108"/>
    </row>
    <row r="350" spans="1:1" x14ac:dyDescent="0.3">
      <c r="A350" s="108"/>
    </row>
    <row r="351" spans="1:1" x14ac:dyDescent="0.3">
      <c r="A351" s="108"/>
    </row>
    <row r="352" spans="1:1" x14ac:dyDescent="0.3">
      <c r="A352" s="108"/>
    </row>
    <row r="353" spans="1:1" x14ac:dyDescent="0.3">
      <c r="A353" s="108"/>
    </row>
    <row r="354" spans="1:1" x14ac:dyDescent="0.3">
      <c r="A354" s="108"/>
    </row>
    <row r="355" spans="1:1" x14ac:dyDescent="0.3">
      <c r="A355" s="108"/>
    </row>
    <row r="356" spans="1:1" x14ac:dyDescent="0.3">
      <c r="A356" s="108"/>
    </row>
    <row r="357" spans="1:1" x14ac:dyDescent="0.3">
      <c r="A357" s="108"/>
    </row>
    <row r="358" spans="1:1" x14ac:dyDescent="0.3">
      <c r="A358" s="108"/>
    </row>
    <row r="359" spans="1:1" x14ac:dyDescent="0.3">
      <c r="A359" s="108"/>
    </row>
    <row r="360" spans="1:1" x14ac:dyDescent="0.3">
      <c r="A360" s="108"/>
    </row>
    <row r="361" spans="1:1" x14ac:dyDescent="0.3">
      <c r="A361" s="108"/>
    </row>
    <row r="362" spans="1:1" x14ac:dyDescent="0.3">
      <c r="A362" s="108"/>
    </row>
    <row r="363" spans="1:1" x14ac:dyDescent="0.3">
      <c r="A363" s="108"/>
    </row>
    <row r="364" spans="1:1" x14ac:dyDescent="0.3">
      <c r="A364" s="108"/>
    </row>
    <row r="365" spans="1:1" x14ac:dyDescent="0.3">
      <c r="A365" s="108"/>
    </row>
    <row r="366" spans="1:1" x14ac:dyDescent="0.3">
      <c r="A366" s="108"/>
    </row>
    <row r="367" spans="1:1" x14ac:dyDescent="0.3">
      <c r="A367" s="108"/>
    </row>
    <row r="368" spans="1:1" x14ac:dyDescent="0.3">
      <c r="A368" s="108"/>
    </row>
    <row r="369" spans="1:1" x14ac:dyDescent="0.3">
      <c r="A369" s="108"/>
    </row>
    <row r="370" spans="1:1" x14ac:dyDescent="0.3">
      <c r="A370" s="108"/>
    </row>
    <row r="371" spans="1:1" x14ac:dyDescent="0.3">
      <c r="A371" s="108"/>
    </row>
    <row r="372" spans="1:1" x14ac:dyDescent="0.3">
      <c r="A372" s="108"/>
    </row>
    <row r="373" spans="1:1" x14ac:dyDescent="0.3">
      <c r="A373" s="108"/>
    </row>
    <row r="374" spans="1:1" x14ac:dyDescent="0.3">
      <c r="A374" s="108"/>
    </row>
    <row r="375" spans="1:1" x14ac:dyDescent="0.3">
      <c r="A375" s="108"/>
    </row>
    <row r="376" spans="1:1" x14ac:dyDescent="0.3">
      <c r="A376" s="108"/>
    </row>
    <row r="377" spans="1:1" x14ac:dyDescent="0.3">
      <c r="A377" s="108"/>
    </row>
    <row r="378" spans="1:1" x14ac:dyDescent="0.3">
      <c r="A378" s="108"/>
    </row>
    <row r="379" spans="1:1" x14ac:dyDescent="0.3">
      <c r="A379" s="108"/>
    </row>
    <row r="380" spans="1:1" x14ac:dyDescent="0.3">
      <c r="A380" s="108"/>
    </row>
    <row r="381" spans="1:1" x14ac:dyDescent="0.3">
      <c r="A381" s="108"/>
    </row>
    <row r="382" spans="1:1" x14ac:dyDescent="0.3">
      <c r="A382" s="108"/>
    </row>
    <row r="383" spans="1:1" x14ac:dyDescent="0.3">
      <c r="A383" s="108"/>
    </row>
    <row r="384" spans="1:1" x14ac:dyDescent="0.3">
      <c r="A384" s="108"/>
    </row>
    <row r="385" spans="1:1" x14ac:dyDescent="0.3">
      <c r="A385" s="108"/>
    </row>
    <row r="386" spans="1:1" x14ac:dyDescent="0.3">
      <c r="A386" s="108"/>
    </row>
    <row r="387" spans="1:1" x14ac:dyDescent="0.3">
      <c r="A387" s="108"/>
    </row>
    <row r="388" spans="1:1" x14ac:dyDescent="0.3">
      <c r="A388" s="108"/>
    </row>
    <row r="389" spans="1:1" x14ac:dyDescent="0.3">
      <c r="A389" s="108"/>
    </row>
    <row r="390" spans="1:1" x14ac:dyDescent="0.3">
      <c r="A390" s="108"/>
    </row>
    <row r="391" spans="1:1" x14ac:dyDescent="0.3">
      <c r="A391" s="108"/>
    </row>
    <row r="392" spans="1:1" x14ac:dyDescent="0.3">
      <c r="A392" s="108"/>
    </row>
    <row r="393" spans="1:1" x14ac:dyDescent="0.3">
      <c r="A393" s="108"/>
    </row>
    <row r="394" spans="1:1" x14ac:dyDescent="0.3">
      <c r="A394" s="108"/>
    </row>
    <row r="395" spans="1:1" x14ac:dyDescent="0.3">
      <c r="A395" s="108"/>
    </row>
    <row r="396" spans="1:1" x14ac:dyDescent="0.3">
      <c r="A396" s="108"/>
    </row>
    <row r="397" spans="1:1" x14ac:dyDescent="0.3">
      <c r="A397" s="108"/>
    </row>
    <row r="398" spans="1:1" x14ac:dyDescent="0.3">
      <c r="A398" s="108"/>
    </row>
    <row r="399" spans="1:1" x14ac:dyDescent="0.3">
      <c r="A399" s="108"/>
    </row>
    <row r="400" spans="1:1" x14ac:dyDescent="0.3">
      <c r="A400" s="108"/>
    </row>
    <row r="401" spans="1:1" x14ac:dyDescent="0.3">
      <c r="A401" s="108"/>
    </row>
    <row r="402" spans="1:1" x14ac:dyDescent="0.3">
      <c r="A402" s="108"/>
    </row>
    <row r="403" spans="1:1" x14ac:dyDescent="0.3">
      <c r="A403" s="108"/>
    </row>
    <row r="404" spans="1:1" x14ac:dyDescent="0.3">
      <c r="A404" s="108"/>
    </row>
    <row r="405" spans="1:1" x14ac:dyDescent="0.3">
      <c r="A405" s="108"/>
    </row>
    <row r="406" spans="1:1" x14ac:dyDescent="0.3">
      <c r="A406" s="108"/>
    </row>
    <row r="407" spans="1:1" x14ac:dyDescent="0.3">
      <c r="A407" s="108"/>
    </row>
    <row r="408" spans="1:1" x14ac:dyDescent="0.3">
      <c r="A408" s="108"/>
    </row>
    <row r="409" spans="1:1" x14ac:dyDescent="0.3">
      <c r="A409" s="108"/>
    </row>
    <row r="410" spans="1:1" x14ac:dyDescent="0.3">
      <c r="A410" s="108"/>
    </row>
    <row r="411" spans="1:1" x14ac:dyDescent="0.3">
      <c r="A411" s="108"/>
    </row>
    <row r="412" spans="1:1" x14ac:dyDescent="0.3">
      <c r="A412" s="108"/>
    </row>
    <row r="413" spans="1:1" x14ac:dyDescent="0.3">
      <c r="A413" s="108"/>
    </row>
    <row r="414" spans="1:1" x14ac:dyDescent="0.3">
      <c r="A414" s="108"/>
    </row>
    <row r="415" spans="1:1" x14ac:dyDescent="0.3">
      <c r="A415" s="108"/>
    </row>
    <row r="416" spans="1:1" x14ac:dyDescent="0.3">
      <c r="A416" s="108"/>
    </row>
    <row r="417" spans="1:1" x14ac:dyDescent="0.3">
      <c r="A417" s="108"/>
    </row>
    <row r="418" spans="1:1" x14ac:dyDescent="0.3">
      <c r="A418" s="108"/>
    </row>
    <row r="419" spans="1:1" x14ac:dyDescent="0.3">
      <c r="A419" s="108"/>
    </row>
    <row r="420" spans="1:1" x14ac:dyDescent="0.3">
      <c r="A420" s="108"/>
    </row>
    <row r="421" spans="1:1" x14ac:dyDescent="0.3">
      <c r="A421" s="108"/>
    </row>
    <row r="422" spans="1:1" x14ac:dyDescent="0.3">
      <c r="A422" s="108"/>
    </row>
    <row r="423" spans="1:1" x14ac:dyDescent="0.3">
      <c r="A423" s="108"/>
    </row>
    <row r="424" spans="1:1" x14ac:dyDescent="0.3">
      <c r="A424" s="108"/>
    </row>
    <row r="425" spans="1:1" x14ac:dyDescent="0.3">
      <c r="A425" s="108"/>
    </row>
    <row r="426" spans="1:1" x14ac:dyDescent="0.3">
      <c r="A426" s="108"/>
    </row>
    <row r="427" spans="1:1" x14ac:dyDescent="0.3">
      <c r="A427" s="108"/>
    </row>
    <row r="428" spans="1:1" x14ac:dyDescent="0.3">
      <c r="A428" s="108"/>
    </row>
    <row r="429" spans="1:1" x14ac:dyDescent="0.3">
      <c r="A429" s="108"/>
    </row>
    <row r="430" spans="1:1" x14ac:dyDescent="0.3">
      <c r="A430" s="108"/>
    </row>
    <row r="431" spans="1:1" x14ac:dyDescent="0.3">
      <c r="A431" s="108"/>
    </row>
    <row r="432" spans="1:1" x14ac:dyDescent="0.3">
      <c r="A432" s="108"/>
    </row>
    <row r="433" spans="1:1" x14ac:dyDescent="0.3">
      <c r="A433" s="108"/>
    </row>
    <row r="434" spans="1:1" x14ac:dyDescent="0.3">
      <c r="A434" s="108"/>
    </row>
    <row r="435" spans="1:1" x14ac:dyDescent="0.3">
      <c r="A435" s="108"/>
    </row>
    <row r="436" spans="1:1" x14ac:dyDescent="0.3">
      <c r="A436" s="108"/>
    </row>
    <row r="437" spans="1:1" x14ac:dyDescent="0.3">
      <c r="A437" s="108"/>
    </row>
    <row r="438" spans="1:1" x14ac:dyDescent="0.3">
      <c r="A438" s="108"/>
    </row>
    <row r="439" spans="1:1" x14ac:dyDescent="0.3">
      <c r="A439" s="108"/>
    </row>
    <row r="440" spans="1:1" x14ac:dyDescent="0.3">
      <c r="A440" s="108"/>
    </row>
    <row r="441" spans="1:1" x14ac:dyDescent="0.3">
      <c r="A441" s="108"/>
    </row>
    <row r="442" spans="1:1" x14ac:dyDescent="0.3">
      <c r="A442" s="108"/>
    </row>
    <row r="443" spans="1:1" x14ac:dyDescent="0.3">
      <c r="A443" s="108"/>
    </row>
    <row r="444" spans="1:1" x14ac:dyDescent="0.3">
      <c r="A444" s="108"/>
    </row>
    <row r="445" spans="1:1" x14ac:dyDescent="0.3">
      <c r="A445" s="108"/>
    </row>
    <row r="446" spans="1:1" x14ac:dyDescent="0.3">
      <c r="A446" s="108"/>
    </row>
    <row r="447" spans="1:1" x14ac:dyDescent="0.3">
      <c r="A447" s="108"/>
    </row>
    <row r="448" spans="1:1" x14ac:dyDescent="0.3">
      <c r="A448" s="108"/>
    </row>
    <row r="449" spans="1:1" x14ac:dyDescent="0.3">
      <c r="A449" s="108"/>
    </row>
    <row r="450" spans="1:1" x14ac:dyDescent="0.3">
      <c r="A450" s="108"/>
    </row>
    <row r="451" spans="1:1" x14ac:dyDescent="0.3">
      <c r="A451" s="108"/>
    </row>
    <row r="452" spans="1:1" x14ac:dyDescent="0.3">
      <c r="A452" s="108"/>
    </row>
    <row r="453" spans="1:1" x14ac:dyDescent="0.3">
      <c r="A453" s="108"/>
    </row>
    <row r="454" spans="1:1" x14ac:dyDescent="0.3">
      <c r="A454" s="108"/>
    </row>
    <row r="455" spans="1:1" x14ac:dyDescent="0.3">
      <c r="A455" s="108"/>
    </row>
    <row r="456" spans="1:1" x14ac:dyDescent="0.3">
      <c r="A456" s="108"/>
    </row>
    <row r="457" spans="1:1" x14ac:dyDescent="0.3">
      <c r="A457" s="108"/>
    </row>
    <row r="458" spans="1:1" x14ac:dyDescent="0.3">
      <c r="A458" s="108"/>
    </row>
    <row r="459" spans="1:1" x14ac:dyDescent="0.3">
      <c r="A459" s="108"/>
    </row>
    <row r="460" spans="1:1" x14ac:dyDescent="0.3">
      <c r="A460" s="108"/>
    </row>
    <row r="461" spans="1:1" x14ac:dyDescent="0.3">
      <c r="A461" s="108"/>
    </row>
    <row r="462" spans="1:1" x14ac:dyDescent="0.3">
      <c r="A462" s="108"/>
    </row>
    <row r="463" spans="1:1" x14ac:dyDescent="0.3">
      <c r="A463" s="108"/>
    </row>
    <row r="464" spans="1:1" x14ac:dyDescent="0.3">
      <c r="A464" s="108"/>
    </row>
    <row r="465" spans="1:1" x14ac:dyDescent="0.3">
      <c r="A465" s="108"/>
    </row>
    <row r="466" spans="1:1" x14ac:dyDescent="0.3">
      <c r="A466" s="108"/>
    </row>
    <row r="467" spans="1:1" x14ac:dyDescent="0.3">
      <c r="A467" s="108"/>
    </row>
    <row r="468" spans="1:1" x14ac:dyDescent="0.3">
      <c r="A468" s="108"/>
    </row>
    <row r="469" spans="1:1" x14ac:dyDescent="0.3">
      <c r="A469" s="108"/>
    </row>
    <row r="470" spans="1:1" x14ac:dyDescent="0.3">
      <c r="A470" s="108"/>
    </row>
    <row r="471" spans="1:1" x14ac:dyDescent="0.3">
      <c r="A471" s="108"/>
    </row>
    <row r="472" spans="1:1" x14ac:dyDescent="0.3">
      <c r="A472" s="108"/>
    </row>
    <row r="473" spans="1:1" x14ac:dyDescent="0.3">
      <c r="A473" s="108"/>
    </row>
    <row r="474" spans="1:1" x14ac:dyDescent="0.3">
      <c r="A474" s="108"/>
    </row>
    <row r="475" spans="1:1" x14ac:dyDescent="0.3">
      <c r="A475" s="108"/>
    </row>
    <row r="476" spans="1:1" x14ac:dyDescent="0.3">
      <c r="A476" s="108"/>
    </row>
    <row r="477" spans="1:1" x14ac:dyDescent="0.3">
      <c r="A477" s="108"/>
    </row>
    <row r="478" spans="1:1" x14ac:dyDescent="0.3">
      <c r="A478" s="108"/>
    </row>
    <row r="479" spans="1:1" x14ac:dyDescent="0.3">
      <c r="A479" s="108"/>
    </row>
    <row r="480" spans="1:1" x14ac:dyDescent="0.3">
      <c r="A480" s="108"/>
    </row>
    <row r="481" spans="1:1" x14ac:dyDescent="0.3">
      <c r="A481" s="108"/>
    </row>
    <row r="482" spans="1:1" x14ac:dyDescent="0.3">
      <c r="A482" s="108"/>
    </row>
    <row r="483" spans="1:1" x14ac:dyDescent="0.3">
      <c r="A483" s="108"/>
    </row>
    <row r="484" spans="1:1" x14ac:dyDescent="0.3">
      <c r="A484" s="108"/>
    </row>
    <row r="485" spans="1:1" x14ac:dyDescent="0.3">
      <c r="A485" s="108"/>
    </row>
    <row r="486" spans="1:1" x14ac:dyDescent="0.3">
      <c r="A486" s="108"/>
    </row>
    <row r="487" spans="1:1" x14ac:dyDescent="0.3">
      <c r="A487" s="108"/>
    </row>
    <row r="488" spans="1:1" x14ac:dyDescent="0.3">
      <c r="A488" s="108"/>
    </row>
    <row r="489" spans="1:1" x14ac:dyDescent="0.3">
      <c r="A489" s="108"/>
    </row>
    <row r="490" spans="1:1" x14ac:dyDescent="0.3">
      <c r="A490" s="108"/>
    </row>
    <row r="491" spans="1:1" x14ac:dyDescent="0.3">
      <c r="A491" s="108"/>
    </row>
    <row r="492" spans="1:1" x14ac:dyDescent="0.3">
      <c r="A492" s="108"/>
    </row>
    <row r="493" spans="1:1" x14ac:dyDescent="0.3">
      <c r="A493" s="108"/>
    </row>
    <row r="494" spans="1:1" x14ac:dyDescent="0.3">
      <c r="A494" s="108"/>
    </row>
    <row r="495" spans="1:1" x14ac:dyDescent="0.3">
      <c r="A495" s="108"/>
    </row>
    <row r="496" spans="1:1" x14ac:dyDescent="0.3">
      <c r="A496" s="108"/>
    </row>
    <row r="497" spans="1:1" x14ac:dyDescent="0.3">
      <c r="A497" s="108"/>
    </row>
    <row r="498" spans="1:1" x14ac:dyDescent="0.3">
      <c r="A498" s="108"/>
    </row>
    <row r="499" spans="1:1" x14ac:dyDescent="0.3">
      <c r="A499" s="108"/>
    </row>
    <row r="500" spans="1:1" x14ac:dyDescent="0.3">
      <c r="A500" s="108"/>
    </row>
    <row r="501" spans="1:1" x14ac:dyDescent="0.3">
      <c r="A501" s="108"/>
    </row>
    <row r="502" spans="1:1" x14ac:dyDescent="0.3">
      <c r="A502" s="108"/>
    </row>
    <row r="503" spans="1:1" x14ac:dyDescent="0.3">
      <c r="A503" s="108"/>
    </row>
    <row r="504" spans="1:1" x14ac:dyDescent="0.3">
      <c r="A504" s="108"/>
    </row>
    <row r="505" spans="1:1" x14ac:dyDescent="0.3">
      <c r="A505" s="108"/>
    </row>
    <row r="506" spans="1:1" x14ac:dyDescent="0.3">
      <c r="A506" s="108"/>
    </row>
    <row r="507" spans="1:1" x14ac:dyDescent="0.3">
      <c r="A507" s="108"/>
    </row>
    <row r="508" spans="1:1" x14ac:dyDescent="0.3">
      <c r="A508" s="108"/>
    </row>
    <row r="509" spans="1:1" x14ac:dyDescent="0.3">
      <c r="A509" s="108"/>
    </row>
    <row r="510" spans="1:1" x14ac:dyDescent="0.3">
      <c r="A510" s="108"/>
    </row>
    <row r="511" spans="1:1" x14ac:dyDescent="0.3">
      <c r="A511" s="108"/>
    </row>
    <row r="512" spans="1:1" x14ac:dyDescent="0.3">
      <c r="A512" s="108"/>
    </row>
    <row r="513" spans="1:1" x14ac:dyDescent="0.3">
      <c r="A513" s="108"/>
    </row>
    <row r="514" spans="1:1" x14ac:dyDescent="0.3">
      <c r="A514" s="108"/>
    </row>
    <row r="515" spans="1:1" x14ac:dyDescent="0.3">
      <c r="A515" s="108"/>
    </row>
    <row r="516" spans="1:1" x14ac:dyDescent="0.3">
      <c r="A516" s="108"/>
    </row>
    <row r="517" spans="1:1" x14ac:dyDescent="0.3">
      <c r="A517" s="108"/>
    </row>
    <row r="518" spans="1:1" x14ac:dyDescent="0.3">
      <c r="A518" s="108"/>
    </row>
    <row r="519" spans="1:1" x14ac:dyDescent="0.3">
      <c r="A519" s="108"/>
    </row>
    <row r="520" spans="1:1" x14ac:dyDescent="0.3">
      <c r="A520" s="108"/>
    </row>
    <row r="521" spans="1:1" x14ac:dyDescent="0.3">
      <c r="A521" s="108"/>
    </row>
    <row r="522" spans="1:1" x14ac:dyDescent="0.3">
      <c r="A522" s="108"/>
    </row>
    <row r="523" spans="1:1" x14ac:dyDescent="0.3">
      <c r="A523" s="108"/>
    </row>
    <row r="524" spans="1:1" x14ac:dyDescent="0.3">
      <c r="A524" s="108"/>
    </row>
    <row r="525" spans="1:1" x14ac:dyDescent="0.3">
      <c r="A525" s="108"/>
    </row>
    <row r="526" spans="1:1" x14ac:dyDescent="0.3">
      <c r="A526" s="108"/>
    </row>
    <row r="527" spans="1:1" x14ac:dyDescent="0.3">
      <c r="A527" s="108"/>
    </row>
    <row r="528" spans="1:1" x14ac:dyDescent="0.3">
      <c r="A528" s="108"/>
    </row>
    <row r="529" spans="1:1" x14ac:dyDescent="0.3">
      <c r="A529" s="108"/>
    </row>
    <row r="530" spans="1:1" x14ac:dyDescent="0.3">
      <c r="A530" s="108"/>
    </row>
    <row r="531" spans="1:1" x14ac:dyDescent="0.3">
      <c r="A531" s="108"/>
    </row>
    <row r="532" spans="1:1" x14ac:dyDescent="0.3">
      <c r="A532" s="108"/>
    </row>
    <row r="533" spans="1:1" x14ac:dyDescent="0.3">
      <c r="A533" s="108"/>
    </row>
    <row r="534" spans="1:1" x14ac:dyDescent="0.3">
      <c r="A534" s="108"/>
    </row>
    <row r="535" spans="1:1" x14ac:dyDescent="0.3">
      <c r="A535" s="108"/>
    </row>
    <row r="536" spans="1:1" x14ac:dyDescent="0.3">
      <c r="A536" s="108"/>
    </row>
    <row r="537" spans="1:1" x14ac:dyDescent="0.3">
      <c r="A537" s="108"/>
    </row>
    <row r="538" spans="1:1" x14ac:dyDescent="0.3">
      <c r="A538" s="108"/>
    </row>
    <row r="539" spans="1:1" x14ac:dyDescent="0.3">
      <c r="A539" s="108"/>
    </row>
    <row r="540" spans="1:1" x14ac:dyDescent="0.3">
      <c r="A540" s="108"/>
    </row>
    <row r="541" spans="1:1" x14ac:dyDescent="0.3">
      <c r="A541" s="108"/>
    </row>
    <row r="542" spans="1:1" x14ac:dyDescent="0.3">
      <c r="A542" s="108"/>
    </row>
    <row r="543" spans="1:1" x14ac:dyDescent="0.3">
      <c r="A543" s="108"/>
    </row>
    <row r="544" spans="1:1" x14ac:dyDescent="0.3">
      <c r="A544" s="108"/>
    </row>
    <row r="545" spans="1:1" x14ac:dyDescent="0.3">
      <c r="A545" s="108"/>
    </row>
    <row r="546" spans="1:1" x14ac:dyDescent="0.3">
      <c r="A546" s="108"/>
    </row>
    <row r="547" spans="1:1" x14ac:dyDescent="0.3">
      <c r="A547" s="108"/>
    </row>
    <row r="548" spans="1:1" x14ac:dyDescent="0.3">
      <c r="A548" s="108"/>
    </row>
    <row r="549" spans="1:1" x14ac:dyDescent="0.3">
      <c r="A549" s="108"/>
    </row>
    <row r="550" spans="1:1" x14ac:dyDescent="0.3">
      <c r="A550" s="108"/>
    </row>
    <row r="551" spans="1:1" x14ac:dyDescent="0.3">
      <c r="A551" s="108"/>
    </row>
    <row r="552" spans="1:1" x14ac:dyDescent="0.3">
      <c r="A552" s="108"/>
    </row>
    <row r="553" spans="1:1" x14ac:dyDescent="0.3">
      <c r="A553" s="108"/>
    </row>
    <row r="554" spans="1:1" x14ac:dyDescent="0.3">
      <c r="A554" s="108"/>
    </row>
    <row r="555" spans="1:1" x14ac:dyDescent="0.3">
      <c r="A555" s="108"/>
    </row>
    <row r="556" spans="1:1" x14ac:dyDescent="0.3">
      <c r="A556" s="108"/>
    </row>
    <row r="557" spans="1:1" x14ac:dyDescent="0.3">
      <c r="A557" s="108"/>
    </row>
    <row r="558" spans="1:1" x14ac:dyDescent="0.3">
      <c r="A558" s="108"/>
    </row>
    <row r="559" spans="1:1" x14ac:dyDescent="0.3">
      <c r="A559" s="108"/>
    </row>
    <row r="560" spans="1:1" x14ac:dyDescent="0.3">
      <c r="A560" s="108"/>
    </row>
    <row r="561" spans="1:1" x14ac:dyDescent="0.3">
      <c r="A561" s="108"/>
    </row>
    <row r="562" spans="1:1" x14ac:dyDescent="0.3">
      <c r="A562" s="108"/>
    </row>
    <row r="563" spans="1:1" x14ac:dyDescent="0.3">
      <c r="A563" s="108"/>
    </row>
    <row r="564" spans="1:1" x14ac:dyDescent="0.3">
      <c r="A564" s="108"/>
    </row>
    <row r="565" spans="1:1" x14ac:dyDescent="0.3">
      <c r="A565" s="108"/>
    </row>
    <row r="566" spans="1:1" x14ac:dyDescent="0.3">
      <c r="A566" s="108"/>
    </row>
    <row r="567" spans="1:1" x14ac:dyDescent="0.3">
      <c r="A567" s="108"/>
    </row>
    <row r="568" spans="1:1" x14ac:dyDescent="0.3">
      <c r="A568" s="108"/>
    </row>
    <row r="569" spans="1:1" x14ac:dyDescent="0.3">
      <c r="A569" s="108"/>
    </row>
    <row r="570" spans="1:1" x14ac:dyDescent="0.3">
      <c r="A570" s="108"/>
    </row>
    <row r="571" spans="1:1" x14ac:dyDescent="0.3">
      <c r="A571" s="108"/>
    </row>
    <row r="572" spans="1:1" x14ac:dyDescent="0.3">
      <c r="A572" s="108"/>
    </row>
    <row r="573" spans="1:1" x14ac:dyDescent="0.3">
      <c r="A573" s="108"/>
    </row>
    <row r="574" spans="1:1" x14ac:dyDescent="0.3">
      <c r="A574" s="108"/>
    </row>
    <row r="575" spans="1:1" x14ac:dyDescent="0.3">
      <c r="A575" s="108"/>
    </row>
    <row r="576" spans="1:1" x14ac:dyDescent="0.3">
      <c r="A576" s="108"/>
    </row>
    <row r="577" spans="1:1" x14ac:dyDescent="0.3">
      <c r="A577" s="108"/>
    </row>
    <row r="578" spans="1:1" x14ac:dyDescent="0.3">
      <c r="A578" s="108"/>
    </row>
    <row r="579" spans="1:1" x14ac:dyDescent="0.3">
      <c r="A579" s="108"/>
    </row>
    <row r="580" spans="1:1" x14ac:dyDescent="0.3">
      <c r="A580" s="108"/>
    </row>
    <row r="581" spans="1:1" x14ac:dyDescent="0.3">
      <c r="A581" s="108"/>
    </row>
    <row r="582" spans="1:1" x14ac:dyDescent="0.3">
      <c r="A582" s="108"/>
    </row>
    <row r="583" spans="1:1" x14ac:dyDescent="0.3">
      <c r="A583" s="108"/>
    </row>
    <row r="584" spans="1:1" x14ac:dyDescent="0.3">
      <c r="A584" s="108"/>
    </row>
    <row r="585" spans="1:1" x14ac:dyDescent="0.3">
      <c r="A585" s="108"/>
    </row>
    <row r="586" spans="1:1" x14ac:dyDescent="0.3">
      <c r="A586" s="108"/>
    </row>
    <row r="587" spans="1:1" x14ac:dyDescent="0.3">
      <c r="A587" s="108"/>
    </row>
    <row r="588" spans="1:1" x14ac:dyDescent="0.3">
      <c r="A588" s="108"/>
    </row>
    <row r="589" spans="1:1" x14ac:dyDescent="0.3">
      <c r="A589" s="108"/>
    </row>
    <row r="590" spans="1:1" x14ac:dyDescent="0.3">
      <c r="A590" s="108"/>
    </row>
    <row r="591" spans="1:1" x14ac:dyDescent="0.3">
      <c r="A591" s="108"/>
    </row>
    <row r="592" spans="1:1" x14ac:dyDescent="0.3">
      <c r="A592" s="108"/>
    </row>
    <row r="593" spans="1:1" x14ac:dyDescent="0.3">
      <c r="A593" s="108"/>
    </row>
    <row r="594" spans="1:1" x14ac:dyDescent="0.3">
      <c r="A594" s="108"/>
    </row>
    <row r="595" spans="1:1" x14ac:dyDescent="0.3">
      <c r="A595" s="108"/>
    </row>
    <row r="596" spans="1:1" x14ac:dyDescent="0.3">
      <c r="A596" s="108"/>
    </row>
    <row r="597" spans="1:1" x14ac:dyDescent="0.3">
      <c r="A597" s="108"/>
    </row>
    <row r="598" spans="1:1" x14ac:dyDescent="0.3">
      <c r="A598" s="108"/>
    </row>
    <row r="599" spans="1:1" x14ac:dyDescent="0.3">
      <c r="A599" s="108"/>
    </row>
    <row r="600" spans="1:1" x14ac:dyDescent="0.3">
      <c r="A600" s="108"/>
    </row>
    <row r="601" spans="1:1" x14ac:dyDescent="0.3">
      <c r="A601" s="108"/>
    </row>
    <row r="602" spans="1:1" x14ac:dyDescent="0.3">
      <c r="A602" s="108"/>
    </row>
    <row r="603" spans="1:1" x14ac:dyDescent="0.3">
      <c r="A603" s="108"/>
    </row>
    <row r="604" spans="1:1" x14ac:dyDescent="0.3">
      <c r="A604" s="108"/>
    </row>
    <row r="605" spans="1:1" x14ac:dyDescent="0.3">
      <c r="A605" s="108"/>
    </row>
    <row r="606" spans="1:1" x14ac:dyDescent="0.3">
      <c r="A606" s="108"/>
    </row>
    <row r="607" spans="1:1" x14ac:dyDescent="0.3">
      <c r="A607" s="108"/>
    </row>
    <row r="608" spans="1:1" x14ac:dyDescent="0.3">
      <c r="A608" s="108"/>
    </row>
    <row r="609" spans="1:1" x14ac:dyDescent="0.3">
      <c r="A609" s="108"/>
    </row>
    <row r="610" spans="1:1" x14ac:dyDescent="0.3">
      <c r="A610" s="108"/>
    </row>
    <row r="611" spans="1:1" x14ac:dyDescent="0.3">
      <c r="A611" s="108"/>
    </row>
    <row r="612" spans="1:1" x14ac:dyDescent="0.3">
      <c r="A612" s="108"/>
    </row>
    <row r="613" spans="1:1" x14ac:dyDescent="0.3">
      <c r="A613" s="108"/>
    </row>
    <row r="614" spans="1:1" x14ac:dyDescent="0.3">
      <c r="A614" s="108"/>
    </row>
    <row r="615" spans="1:1" x14ac:dyDescent="0.3">
      <c r="A615" s="108"/>
    </row>
    <row r="616" spans="1:1" x14ac:dyDescent="0.3">
      <c r="A616" s="108"/>
    </row>
    <row r="617" spans="1:1" x14ac:dyDescent="0.3">
      <c r="A617" s="108"/>
    </row>
    <row r="618" spans="1:1" x14ac:dyDescent="0.3">
      <c r="A618" s="108"/>
    </row>
    <row r="619" spans="1:1" x14ac:dyDescent="0.3">
      <c r="A619" s="108"/>
    </row>
    <row r="620" spans="1:1" x14ac:dyDescent="0.3">
      <c r="A620" s="108"/>
    </row>
    <row r="621" spans="1:1" x14ac:dyDescent="0.3">
      <c r="A621" s="108"/>
    </row>
    <row r="622" spans="1:1" x14ac:dyDescent="0.3">
      <c r="A622" s="108"/>
    </row>
    <row r="623" spans="1:1" x14ac:dyDescent="0.3">
      <c r="A623" s="108"/>
    </row>
    <row r="624" spans="1:1" x14ac:dyDescent="0.3">
      <c r="A624" s="108"/>
    </row>
    <row r="625" spans="1:1" x14ac:dyDescent="0.3">
      <c r="A625" s="108"/>
    </row>
    <row r="626" spans="1:1" x14ac:dyDescent="0.3">
      <c r="A626" s="108"/>
    </row>
    <row r="627" spans="1:1" x14ac:dyDescent="0.3">
      <c r="A627" s="108"/>
    </row>
    <row r="628" spans="1:1" x14ac:dyDescent="0.3">
      <c r="A628" s="108"/>
    </row>
    <row r="629" spans="1:1" x14ac:dyDescent="0.3">
      <c r="A629" s="108"/>
    </row>
    <row r="630" spans="1:1" x14ac:dyDescent="0.3">
      <c r="A630" s="108"/>
    </row>
    <row r="631" spans="1:1" x14ac:dyDescent="0.3">
      <c r="A631" s="108"/>
    </row>
    <row r="632" spans="1:1" x14ac:dyDescent="0.3">
      <c r="A632" s="108"/>
    </row>
    <row r="633" spans="1:1" x14ac:dyDescent="0.3">
      <c r="A633" s="108"/>
    </row>
    <row r="634" spans="1:1" x14ac:dyDescent="0.3">
      <c r="A634" s="108"/>
    </row>
    <row r="635" spans="1:1" x14ac:dyDescent="0.3">
      <c r="A635" s="108"/>
    </row>
    <row r="636" spans="1:1" x14ac:dyDescent="0.3">
      <c r="A636" s="108"/>
    </row>
    <row r="637" spans="1:1" x14ac:dyDescent="0.3">
      <c r="A637" s="108"/>
    </row>
    <row r="638" spans="1:1" x14ac:dyDescent="0.3">
      <c r="A638" s="108"/>
    </row>
    <row r="639" spans="1:1" x14ac:dyDescent="0.3">
      <c r="A639" s="108"/>
    </row>
    <row r="640" spans="1:1" x14ac:dyDescent="0.3">
      <c r="A640" s="108"/>
    </row>
    <row r="641" spans="1:1" x14ac:dyDescent="0.3">
      <c r="A641" s="108"/>
    </row>
    <row r="642" spans="1:1" x14ac:dyDescent="0.3">
      <c r="A642" s="108"/>
    </row>
    <row r="643" spans="1:1" x14ac:dyDescent="0.3">
      <c r="A643" s="108"/>
    </row>
    <row r="644" spans="1:1" x14ac:dyDescent="0.3">
      <c r="A644" s="108"/>
    </row>
    <row r="645" spans="1:1" x14ac:dyDescent="0.3">
      <c r="A645" s="108"/>
    </row>
    <row r="646" spans="1:1" x14ac:dyDescent="0.3">
      <c r="A646" s="108"/>
    </row>
    <row r="647" spans="1:1" x14ac:dyDescent="0.3">
      <c r="A647" s="108"/>
    </row>
    <row r="648" spans="1:1" x14ac:dyDescent="0.3">
      <c r="A648" s="108"/>
    </row>
    <row r="649" spans="1:1" x14ac:dyDescent="0.3">
      <c r="A649" s="108"/>
    </row>
    <row r="650" spans="1:1" x14ac:dyDescent="0.3">
      <c r="A650" s="108"/>
    </row>
    <row r="651" spans="1:1" x14ac:dyDescent="0.3">
      <c r="A651" s="108"/>
    </row>
    <row r="652" spans="1:1" x14ac:dyDescent="0.3">
      <c r="A652" s="108"/>
    </row>
    <row r="653" spans="1:1" x14ac:dyDescent="0.3">
      <c r="A653" s="108"/>
    </row>
    <row r="654" spans="1:1" x14ac:dyDescent="0.3">
      <c r="A654" s="108"/>
    </row>
    <row r="655" spans="1:1" x14ac:dyDescent="0.3">
      <c r="A655" s="108"/>
    </row>
    <row r="656" spans="1:1" x14ac:dyDescent="0.3">
      <c r="A656" s="108"/>
    </row>
    <row r="657" spans="1:1" x14ac:dyDescent="0.3">
      <c r="A657" s="108"/>
    </row>
    <row r="658" spans="1:1" x14ac:dyDescent="0.3">
      <c r="A658" s="108"/>
    </row>
    <row r="659" spans="1:1" x14ac:dyDescent="0.3">
      <c r="A659" s="108"/>
    </row>
    <row r="660" spans="1:1" x14ac:dyDescent="0.3">
      <c r="A660" s="108"/>
    </row>
    <row r="661" spans="1:1" x14ac:dyDescent="0.3">
      <c r="A661" s="108"/>
    </row>
    <row r="662" spans="1:1" x14ac:dyDescent="0.3">
      <c r="A662" s="108"/>
    </row>
    <row r="663" spans="1:1" x14ac:dyDescent="0.3">
      <c r="A663" s="108"/>
    </row>
    <row r="664" spans="1:1" x14ac:dyDescent="0.3">
      <c r="A664" s="108"/>
    </row>
    <row r="665" spans="1:1" x14ac:dyDescent="0.3">
      <c r="A665" s="108"/>
    </row>
    <row r="666" spans="1:1" x14ac:dyDescent="0.3">
      <c r="A666" s="108"/>
    </row>
    <row r="667" spans="1:1" x14ac:dyDescent="0.3">
      <c r="A667" s="108"/>
    </row>
    <row r="668" spans="1:1" x14ac:dyDescent="0.3">
      <c r="A668" s="108"/>
    </row>
    <row r="669" spans="1:1" x14ac:dyDescent="0.3">
      <c r="A669" s="108"/>
    </row>
    <row r="670" spans="1:1" x14ac:dyDescent="0.3">
      <c r="A670" s="108"/>
    </row>
    <row r="671" spans="1:1" x14ac:dyDescent="0.3">
      <c r="A671" s="108"/>
    </row>
    <row r="672" spans="1:1" x14ac:dyDescent="0.3">
      <c r="A672" s="108"/>
    </row>
    <row r="673" spans="1:1" x14ac:dyDescent="0.3">
      <c r="A673" s="108"/>
    </row>
    <row r="674" spans="1:1" x14ac:dyDescent="0.3">
      <c r="A674" s="108"/>
    </row>
    <row r="675" spans="1:1" x14ac:dyDescent="0.3">
      <c r="A675" s="108"/>
    </row>
    <row r="676" spans="1:1" x14ac:dyDescent="0.3">
      <c r="A676" s="108"/>
    </row>
    <row r="677" spans="1:1" x14ac:dyDescent="0.3">
      <c r="A677" s="108"/>
    </row>
    <row r="678" spans="1:1" x14ac:dyDescent="0.3">
      <c r="A678" s="108"/>
    </row>
    <row r="679" spans="1:1" x14ac:dyDescent="0.3">
      <c r="A679" s="108"/>
    </row>
    <row r="680" spans="1:1" x14ac:dyDescent="0.3">
      <c r="A680" s="108"/>
    </row>
    <row r="681" spans="1:1" x14ac:dyDescent="0.3">
      <c r="A681" s="108"/>
    </row>
    <row r="682" spans="1:1" x14ac:dyDescent="0.3">
      <c r="A682" s="108"/>
    </row>
    <row r="683" spans="1:1" x14ac:dyDescent="0.3">
      <c r="A683" s="108"/>
    </row>
    <row r="684" spans="1:1" x14ac:dyDescent="0.3">
      <c r="A684" s="108"/>
    </row>
    <row r="685" spans="1:1" x14ac:dyDescent="0.3">
      <c r="A685" s="108"/>
    </row>
    <row r="686" spans="1:1" x14ac:dyDescent="0.3">
      <c r="A686" s="108"/>
    </row>
    <row r="687" spans="1:1" x14ac:dyDescent="0.3">
      <c r="A687" s="108"/>
    </row>
    <row r="688" spans="1:1" x14ac:dyDescent="0.3">
      <c r="A688" s="108"/>
    </row>
    <row r="689" spans="1:1" x14ac:dyDescent="0.3">
      <c r="A689" s="108"/>
    </row>
    <row r="690" spans="1:1" x14ac:dyDescent="0.3">
      <c r="A690" s="108"/>
    </row>
    <row r="691" spans="1:1" x14ac:dyDescent="0.3">
      <c r="A691" s="108"/>
    </row>
    <row r="692" spans="1:1" x14ac:dyDescent="0.3">
      <c r="A692" s="108"/>
    </row>
    <row r="693" spans="1:1" x14ac:dyDescent="0.3">
      <c r="A693" s="108"/>
    </row>
    <row r="694" spans="1:1" x14ac:dyDescent="0.3">
      <c r="A694" s="108"/>
    </row>
    <row r="695" spans="1:1" x14ac:dyDescent="0.3">
      <c r="A695" s="108"/>
    </row>
    <row r="696" spans="1:1" x14ac:dyDescent="0.3">
      <c r="A696" s="108"/>
    </row>
    <row r="697" spans="1:1" x14ac:dyDescent="0.3">
      <c r="A697" s="108"/>
    </row>
    <row r="698" spans="1:1" x14ac:dyDescent="0.3">
      <c r="A698" s="108"/>
    </row>
    <row r="699" spans="1:1" x14ac:dyDescent="0.3">
      <c r="A699" s="108"/>
    </row>
    <row r="700" spans="1:1" x14ac:dyDescent="0.3">
      <c r="A700" s="108"/>
    </row>
    <row r="701" spans="1:1" x14ac:dyDescent="0.3">
      <c r="A701" s="108"/>
    </row>
    <row r="702" spans="1:1" x14ac:dyDescent="0.3">
      <c r="A702" s="108"/>
    </row>
    <row r="703" spans="1:1" x14ac:dyDescent="0.3">
      <c r="A703" s="108"/>
    </row>
    <row r="704" spans="1:1" x14ac:dyDescent="0.3">
      <c r="A704" s="108"/>
    </row>
    <row r="705" spans="1:1" x14ac:dyDescent="0.3">
      <c r="A705" s="108"/>
    </row>
    <row r="706" spans="1:1" x14ac:dyDescent="0.3">
      <c r="A706" s="108"/>
    </row>
    <row r="707" spans="1:1" x14ac:dyDescent="0.3">
      <c r="A707" s="108"/>
    </row>
    <row r="708" spans="1:1" x14ac:dyDescent="0.3">
      <c r="A708" s="108"/>
    </row>
    <row r="709" spans="1:1" x14ac:dyDescent="0.3">
      <c r="A709" s="108"/>
    </row>
    <row r="710" spans="1:1" x14ac:dyDescent="0.3">
      <c r="A710" s="108"/>
    </row>
    <row r="711" spans="1:1" x14ac:dyDescent="0.3">
      <c r="A711" s="108"/>
    </row>
    <row r="712" spans="1:1" x14ac:dyDescent="0.3">
      <c r="A712" s="108"/>
    </row>
    <row r="713" spans="1:1" x14ac:dyDescent="0.3">
      <c r="A713" s="108"/>
    </row>
    <row r="714" spans="1:1" x14ac:dyDescent="0.3">
      <c r="A714" s="108"/>
    </row>
    <row r="715" spans="1:1" x14ac:dyDescent="0.3">
      <c r="A715" s="108"/>
    </row>
    <row r="716" spans="1:1" x14ac:dyDescent="0.3">
      <c r="A716" s="108"/>
    </row>
    <row r="717" spans="1:1" x14ac:dyDescent="0.3">
      <c r="A717" s="108"/>
    </row>
    <row r="718" spans="1:1" x14ac:dyDescent="0.3">
      <c r="A718" s="108"/>
    </row>
    <row r="719" spans="1:1" x14ac:dyDescent="0.3">
      <c r="A719" s="108"/>
    </row>
    <row r="720" spans="1:1" x14ac:dyDescent="0.3">
      <c r="A720" s="108"/>
    </row>
    <row r="721" spans="1:1" x14ac:dyDescent="0.3">
      <c r="A721" s="108"/>
    </row>
    <row r="722" spans="1:1" x14ac:dyDescent="0.3">
      <c r="A722" s="108"/>
    </row>
    <row r="723" spans="1:1" x14ac:dyDescent="0.3">
      <c r="A723" s="108"/>
    </row>
    <row r="724" spans="1:1" x14ac:dyDescent="0.3">
      <c r="A724" s="108"/>
    </row>
    <row r="725" spans="1:1" x14ac:dyDescent="0.3">
      <c r="A725" s="108"/>
    </row>
    <row r="726" spans="1:1" x14ac:dyDescent="0.3">
      <c r="A726" s="108"/>
    </row>
    <row r="727" spans="1:1" x14ac:dyDescent="0.3">
      <c r="A727" s="108"/>
    </row>
    <row r="728" spans="1:1" x14ac:dyDescent="0.3">
      <c r="A728" s="108"/>
    </row>
    <row r="729" spans="1:1" x14ac:dyDescent="0.3">
      <c r="A729" s="108"/>
    </row>
    <row r="730" spans="1:1" x14ac:dyDescent="0.3">
      <c r="A730" s="108"/>
    </row>
    <row r="731" spans="1:1" x14ac:dyDescent="0.3">
      <c r="A731" s="108"/>
    </row>
    <row r="732" spans="1:1" x14ac:dyDescent="0.3">
      <c r="A732" s="108"/>
    </row>
    <row r="733" spans="1:1" x14ac:dyDescent="0.3">
      <c r="A733" s="108"/>
    </row>
    <row r="734" spans="1:1" x14ac:dyDescent="0.3">
      <c r="A734" s="108"/>
    </row>
    <row r="735" spans="1:1" x14ac:dyDescent="0.3">
      <c r="A735" s="108"/>
    </row>
    <row r="736" spans="1:1" x14ac:dyDescent="0.3">
      <c r="A736" s="108"/>
    </row>
    <row r="737" spans="1:1" x14ac:dyDescent="0.3">
      <c r="A737" s="108"/>
    </row>
    <row r="738" spans="1:1" x14ac:dyDescent="0.3">
      <c r="A738" s="108"/>
    </row>
    <row r="739" spans="1:1" x14ac:dyDescent="0.3">
      <c r="A739" s="108"/>
    </row>
    <row r="740" spans="1:1" x14ac:dyDescent="0.3">
      <c r="A740" s="108"/>
    </row>
    <row r="741" spans="1:1" x14ac:dyDescent="0.3">
      <c r="A741" s="108"/>
    </row>
    <row r="742" spans="1:1" x14ac:dyDescent="0.3">
      <c r="A742" s="108"/>
    </row>
    <row r="743" spans="1:1" x14ac:dyDescent="0.3">
      <c r="A743" s="108"/>
    </row>
    <row r="744" spans="1:1" x14ac:dyDescent="0.3">
      <c r="A744" s="108"/>
    </row>
    <row r="745" spans="1:1" x14ac:dyDescent="0.3">
      <c r="A745" s="108"/>
    </row>
    <row r="746" spans="1:1" x14ac:dyDescent="0.3">
      <c r="A746" s="108"/>
    </row>
    <row r="747" spans="1:1" x14ac:dyDescent="0.3">
      <c r="A747" s="108"/>
    </row>
    <row r="748" spans="1:1" x14ac:dyDescent="0.3">
      <c r="A748" s="108"/>
    </row>
    <row r="749" spans="1:1" x14ac:dyDescent="0.3">
      <c r="A749" s="108"/>
    </row>
    <row r="750" spans="1:1" x14ac:dyDescent="0.3">
      <c r="A750" s="108"/>
    </row>
    <row r="751" spans="1:1" x14ac:dyDescent="0.3">
      <c r="A751" s="108"/>
    </row>
    <row r="752" spans="1:1" x14ac:dyDescent="0.3">
      <c r="A752" s="108"/>
    </row>
    <row r="753" spans="1:1" x14ac:dyDescent="0.3">
      <c r="A753" s="108"/>
    </row>
    <row r="754" spans="1:1" x14ac:dyDescent="0.3">
      <c r="A754" s="108"/>
    </row>
    <row r="755" spans="1:1" x14ac:dyDescent="0.3">
      <c r="A755" s="108"/>
    </row>
    <row r="756" spans="1:1" x14ac:dyDescent="0.3">
      <c r="A756" s="108"/>
    </row>
    <row r="757" spans="1:1" x14ac:dyDescent="0.3">
      <c r="A757" s="108"/>
    </row>
    <row r="758" spans="1:1" x14ac:dyDescent="0.3">
      <c r="A758" s="108"/>
    </row>
    <row r="759" spans="1:1" x14ac:dyDescent="0.3">
      <c r="A759" s="108"/>
    </row>
    <row r="760" spans="1:1" x14ac:dyDescent="0.3">
      <c r="A760" s="108"/>
    </row>
    <row r="761" spans="1:1" x14ac:dyDescent="0.3">
      <c r="A761" s="108"/>
    </row>
    <row r="762" spans="1:1" x14ac:dyDescent="0.3">
      <c r="A762" s="108"/>
    </row>
    <row r="763" spans="1:1" x14ac:dyDescent="0.3">
      <c r="A763" s="108"/>
    </row>
    <row r="764" spans="1:1" x14ac:dyDescent="0.3">
      <c r="A764" s="108"/>
    </row>
    <row r="765" spans="1:1" x14ac:dyDescent="0.3">
      <c r="A765" s="108"/>
    </row>
    <row r="766" spans="1:1" x14ac:dyDescent="0.3">
      <c r="A766" s="108"/>
    </row>
    <row r="767" spans="1:1" x14ac:dyDescent="0.3">
      <c r="A767" s="108"/>
    </row>
    <row r="768" spans="1:1" x14ac:dyDescent="0.3">
      <c r="A768" s="108"/>
    </row>
    <row r="769" spans="1:1" x14ac:dyDescent="0.3">
      <c r="A769" s="108"/>
    </row>
    <row r="770" spans="1:1" x14ac:dyDescent="0.3">
      <c r="A770" s="108"/>
    </row>
    <row r="771" spans="1:1" x14ac:dyDescent="0.3">
      <c r="A771" s="108"/>
    </row>
    <row r="772" spans="1:1" x14ac:dyDescent="0.3">
      <c r="A772" s="108"/>
    </row>
    <row r="773" spans="1:1" x14ac:dyDescent="0.3">
      <c r="A773" s="108"/>
    </row>
    <row r="774" spans="1:1" x14ac:dyDescent="0.3">
      <c r="A774" s="108"/>
    </row>
    <row r="775" spans="1:1" x14ac:dyDescent="0.3">
      <c r="A775" s="108"/>
    </row>
    <row r="776" spans="1:1" x14ac:dyDescent="0.3">
      <c r="A776" s="108"/>
    </row>
    <row r="777" spans="1:1" x14ac:dyDescent="0.3">
      <c r="A777" s="108"/>
    </row>
    <row r="778" spans="1:1" x14ac:dyDescent="0.3">
      <c r="A778" s="108"/>
    </row>
    <row r="779" spans="1:1" x14ac:dyDescent="0.3">
      <c r="A779" s="108"/>
    </row>
    <row r="780" spans="1:1" x14ac:dyDescent="0.3">
      <c r="A780" s="108"/>
    </row>
    <row r="781" spans="1:1" x14ac:dyDescent="0.3">
      <c r="A781" s="108"/>
    </row>
    <row r="782" spans="1:1" x14ac:dyDescent="0.3">
      <c r="A782" s="108"/>
    </row>
    <row r="783" spans="1:1" x14ac:dyDescent="0.3">
      <c r="A783" s="108"/>
    </row>
    <row r="784" spans="1:1" x14ac:dyDescent="0.3">
      <c r="A784" s="108"/>
    </row>
    <row r="785" spans="1:1" x14ac:dyDescent="0.3">
      <c r="A785" s="108"/>
    </row>
    <row r="786" spans="1:1" x14ac:dyDescent="0.3">
      <c r="A786" s="108"/>
    </row>
    <row r="787" spans="1:1" x14ac:dyDescent="0.3">
      <c r="A787" s="108"/>
    </row>
    <row r="788" spans="1:1" x14ac:dyDescent="0.3">
      <c r="A788" s="108"/>
    </row>
    <row r="789" spans="1:1" x14ac:dyDescent="0.3">
      <c r="A789" s="108"/>
    </row>
    <row r="790" spans="1:1" x14ac:dyDescent="0.3">
      <c r="A790" s="108"/>
    </row>
    <row r="791" spans="1:1" x14ac:dyDescent="0.3">
      <c r="A791" s="108"/>
    </row>
    <row r="792" spans="1:1" x14ac:dyDescent="0.3">
      <c r="A792" s="108"/>
    </row>
    <row r="793" spans="1:1" x14ac:dyDescent="0.3">
      <c r="A793" s="108"/>
    </row>
    <row r="794" spans="1:1" x14ac:dyDescent="0.3">
      <c r="A794" s="108"/>
    </row>
    <row r="795" spans="1:1" x14ac:dyDescent="0.3">
      <c r="A795" s="108"/>
    </row>
    <row r="796" spans="1:1" x14ac:dyDescent="0.3">
      <c r="A796" s="108"/>
    </row>
    <row r="797" spans="1:1" x14ac:dyDescent="0.3">
      <c r="A797" s="108"/>
    </row>
    <row r="798" spans="1:1" x14ac:dyDescent="0.3">
      <c r="A798" s="108"/>
    </row>
    <row r="799" spans="1:1" x14ac:dyDescent="0.3">
      <c r="A799" s="108"/>
    </row>
    <row r="800" spans="1:1" x14ac:dyDescent="0.3">
      <c r="A800" s="108"/>
    </row>
    <row r="801" spans="1:1" x14ac:dyDescent="0.3">
      <c r="A801" s="108"/>
    </row>
    <row r="802" spans="1:1" x14ac:dyDescent="0.3">
      <c r="A802" s="108"/>
    </row>
    <row r="803" spans="1:1" x14ac:dyDescent="0.3">
      <c r="A803" s="108"/>
    </row>
    <row r="804" spans="1:1" x14ac:dyDescent="0.3">
      <c r="A804" s="108"/>
    </row>
    <row r="805" spans="1:1" x14ac:dyDescent="0.3">
      <c r="A805" s="108"/>
    </row>
    <row r="806" spans="1:1" x14ac:dyDescent="0.3">
      <c r="A806" s="108"/>
    </row>
    <row r="807" spans="1:1" x14ac:dyDescent="0.3">
      <c r="A807" s="108"/>
    </row>
    <row r="808" spans="1:1" x14ac:dyDescent="0.3">
      <c r="A808" s="108"/>
    </row>
    <row r="809" spans="1:1" x14ac:dyDescent="0.3">
      <c r="A809" s="108"/>
    </row>
    <row r="810" spans="1:1" x14ac:dyDescent="0.3">
      <c r="A810" s="108"/>
    </row>
    <row r="811" spans="1:1" x14ac:dyDescent="0.3">
      <c r="A811" s="108"/>
    </row>
    <row r="812" spans="1:1" x14ac:dyDescent="0.3">
      <c r="A812" s="108"/>
    </row>
    <row r="813" spans="1:1" x14ac:dyDescent="0.3">
      <c r="A813" s="108"/>
    </row>
    <row r="814" spans="1:1" x14ac:dyDescent="0.3">
      <c r="A814" s="108"/>
    </row>
    <row r="815" spans="1:1" x14ac:dyDescent="0.3">
      <c r="A815" s="108"/>
    </row>
    <row r="816" spans="1:1" x14ac:dyDescent="0.3">
      <c r="A816" s="108"/>
    </row>
    <row r="817" spans="1:1" x14ac:dyDescent="0.3">
      <c r="A817" s="108"/>
    </row>
    <row r="818" spans="1:1" x14ac:dyDescent="0.3">
      <c r="A818" s="108"/>
    </row>
    <row r="819" spans="1:1" x14ac:dyDescent="0.3">
      <c r="A819" s="108"/>
    </row>
    <row r="820" spans="1:1" x14ac:dyDescent="0.3">
      <c r="A820" s="108"/>
    </row>
    <row r="821" spans="1:1" x14ac:dyDescent="0.3">
      <c r="A821" s="108"/>
    </row>
    <row r="822" spans="1:1" x14ac:dyDescent="0.3">
      <c r="A822" s="108"/>
    </row>
    <row r="823" spans="1:1" x14ac:dyDescent="0.3">
      <c r="A823" s="108"/>
    </row>
    <row r="824" spans="1:1" x14ac:dyDescent="0.3">
      <c r="A824" s="108"/>
    </row>
    <row r="825" spans="1:1" x14ac:dyDescent="0.3">
      <c r="A825" s="108"/>
    </row>
    <row r="826" spans="1:1" x14ac:dyDescent="0.3">
      <c r="A826" s="108"/>
    </row>
    <row r="827" spans="1:1" x14ac:dyDescent="0.3">
      <c r="A827" s="108"/>
    </row>
    <row r="828" spans="1:1" x14ac:dyDescent="0.3">
      <c r="A828" s="108"/>
    </row>
    <row r="829" spans="1:1" x14ac:dyDescent="0.3">
      <c r="A829" s="108"/>
    </row>
    <row r="830" spans="1:1" x14ac:dyDescent="0.3">
      <c r="A830" s="108"/>
    </row>
    <row r="831" spans="1:1" x14ac:dyDescent="0.3">
      <c r="A831" s="108"/>
    </row>
    <row r="832" spans="1:1" x14ac:dyDescent="0.3">
      <c r="A832" s="108"/>
    </row>
    <row r="833" spans="1:1" x14ac:dyDescent="0.3">
      <c r="A833" s="108"/>
    </row>
    <row r="834" spans="1:1" x14ac:dyDescent="0.3">
      <c r="A834" s="108"/>
    </row>
    <row r="835" spans="1:1" x14ac:dyDescent="0.3">
      <c r="A835" s="108"/>
    </row>
    <row r="836" spans="1:1" x14ac:dyDescent="0.3">
      <c r="A836" s="108"/>
    </row>
    <row r="837" spans="1:1" x14ac:dyDescent="0.3">
      <c r="A837" s="108"/>
    </row>
    <row r="838" spans="1:1" x14ac:dyDescent="0.3">
      <c r="A838" s="108"/>
    </row>
    <row r="839" spans="1:1" x14ac:dyDescent="0.3">
      <c r="A839" s="108"/>
    </row>
    <row r="840" spans="1:1" x14ac:dyDescent="0.3">
      <c r="A840" s="108"/>
    </row>
    <row r="841" spans="1:1" x14ac:dyDescent="0.3">
      <c r="A841" s="108"/>
    </row>
    <row r="842" spans="1:1" x14ac:dyDescent="0.3">
      <c r="A842" s="108"/>
    </row>
    <row r="843" spans="1:1" x14ac:dyDescent="0.3">
      <c r="A843" s="108"/>
    </row>
    <row r="844" spans="1:1" x14ac:dyDescent="0.3">
      <c r="A844" s="108"/>
    </row>
    <row r="845" spans="1:1" x14ac:dyDescent="0.3">
      <c r="A845" s="108"/>
    </row>
    <row r="846" spans="1:1" x14ac:dyDescent="0.3">
      <c r="A846" s="108"/>
    </row>
    <row r="847" spans="1:1" x14ac:dyDescent="0.3">
      <c r="A847" s="108"/>
    </row>
    <row r="848" spans="1:1" x14ac:dyDescent="0.3">
      <c r="A848" s="108"/>
    </row>
    <row r="849" spans="1:1" x14ac:dyDescent="0.3">
      <c r="A849" s="108"/>
    </row>
    <row r="850" spans="1:1" x14ac:dyDescent="0.3">
      <c r="A850" s="108"/>
    </row>
    <row r="851" spans="1:1" x14ac:dyDescent="0.3">
      <c r="A851" s="108"/>
    </row>
    <row r="852" spans="1:1" x14ac:dyDescent="0.3">
      <c r="A852" s="108"/>
    </row>
    <row r="853" spans="1:1" x14ac:dyDescent="0.3">
      <c r="A853" s="108"/>
    </row>
    <row r="854" spans="1:1" x14ac:dyDescent="0.3">
      <c r="A854" s="108"/>
    </row>
    <row r="855" spans="1:1" x14ac:dyDescent="0.3">
      <c r="A855" s="108"/>
    </row>
    <row r="856" spans="1:1" x14ac:dyDescent="0.3">
      <c r="A856" s="108"/>
    </row>
    <row r="857" spans="1:1" x14ac:dyDescent="0.3">
      <c r="A857" s="108"/>
    </row>
    <row r="858" spans="1:1" x14ac:dyDescent="0.3">
      <c r="A858" s="108"/>
    </row>
    <row r="859" spans="1:1" x14ac:dyDescent="0.3">
      <c r="A859" s="108"/>
    </row>
    <row r="860" spans="1:1" x14ac:dyDescent="0.3">
      <c r="A860" s="108"/>
    </row>
    <row r="861" spans="1:1" x14ac:dyDescent="0.3">
      <c r="A861" s="108"/>
    </row>
    <row r="862" spans="1:1" x14ac:dyDescent="0.3">
      <c r="A862" s="108"/>
    </row>
    <row r="863" spans="1:1" x14ac:dyDescent="0.3">
      <c r="A863" s="108"/>
    </row>
    <row r="864" spans="1:1" x14ac:dyDescent="0.3">
      <c r="A864" s="108"/>
    </row>
    <row r="865" spans="1:1" x14ac:dyDescent="0.3">
      <c r="A865" s="108"/>
    </row>
    <row r="866" spans="1:1" x14ac:dyDescent="0.3">
      <c r="A866" s="108"/>
    </row>
    <row r="867" spans="1:1" x14ac:dyDescent="0.3">
      <c r="A867" s="108"/>
    </row>
    <row r="868" spans="1:1" x14ac:dyDescent="0.3">
      <c r="A868" s="108"/>
    </row>
    <row r="869" spans="1:1" x14ac:dyDescent="0.3">
      <c r="A869" s="108"/>
    </row>
    <row r="870" spans="1:1" x14ac:dyDescent="0.3">
      <c r="A870" s="108"/>
    </row>
    <row r="871" spans="1:1" x14ac:dyDescent="0.3">
      <c r="A871" s="108"/>
    </row>
    <row r="872" spans="1:1" x14ac:dyDescent="0.3">
      <c r="A872" s="108"/>
    </row>
    <row r="873" spans="1:1" x14ac:dyDescent="0.3">
      <c r="A873" s="108"/>
    </row>
    <row r="874" spans="1:1" x14ac:dyDescent="0.3">
      <c r="A874" s="108"/>
    </row>
    <row r="875" spans="1:1" x14ac:dyDescent="0.3">
      <c r="A875" s="108"/>
    </row>
    <row r="876" spans="1:1" x14ac:dyDescent="0.3">
      <c r="A876" s="108"/>
    </row>
    <row r="877" spans="1:1" x14ac:dyDescent="0.3">
      <c r="A877" s="108"/>
    </row>
    <row r="878" spans="1:1" x14ac:dyDescent="0.3">
      <c r="A878" s="108"/>
    </row>
    <row r="879" spans="1:1" x14ac:dyDescent="0.3">
      <c r="A879" s="108"/>
    </row>
    <row r="880" spans="1:1" x14ac:dyDescent="0.3">
      <c r="A880" s="108"/>
    </row>
    <row r="881" spans="1:1" x14ac:dyDescent="0.3">
      <c r="A881" s="108"/>
    </row>
    <row r="882" spans="1:1" x14ac:dyDescent="0.3">
      <c r="A882" s="108"/>
    </row>
    <row r="883" spans="1:1" x14ac:dyDescent="0.3">
      <c r="A883" s="108"/>
    </row>
    <row r="884" spans="1:1" x14ac:dyDescent="0.3">
      <c r="A884" s="108"/>
    </row>
    <row r="885" spans="1:1" x14ac:dyDescent="0.3">
      <c r="A885" s="108"/>
    </row>
    <row r="886" spans="1:1" x14ac:dyDescent="0.3">
      <c r="A886" s="108"/>
    </row>
    <row r="887" spans="1:1" x14ac:dyDescent="0.3">
      <c r="A887" s="108"/>
    </row>
    <row r="888" spans="1:1" x14ac:dyDescent="0.3">
      <c r="A888" s="108"/>
    </row>
    <row r="889" spans="1:1" x14ac:dyDescent="0.3">
      <c r="A889" s="108"/>
    </row>
    <row r="890" spans="1:1" x14ac:dyDescent="0.3">
      <c r="A890" s="108"/>
    </row>
    <row r="891" spans="1:1" x14ac:dyDescent="0.3">
      <c r="A891" s="108"/>
    </row>
    <row r="892" spans="1:1" x14ac:dyDescent="0.3">
      <c r="A892" s="108"/>
    </row>
    <row r="893" spans="1:1" x14ac:dyDescent="0.3">
      <c r="A893" s="108"/>
    </row>
    <row r="894" spans="1:1" x14ac:dyDescent="0.3">
      <c r="A894" s="108"/>
    </row>
    <row r="895" spans="1:1" x14ac:dyDescent="0.3">
      <c r="A895" s="108"/>
    </row>
    <row r="896" spans="1:1" x14ac:dyDescent="0.3">
      <c r="A896" s="108"/>
    </row>
    <row r="897" spans="1:1" x14ac:dyDescent="0.3">
      <c r="A897" s="108"/>
    </row>
    <row r="898" spans="1:1" x14ac:dyDescent="0.3">
      <c r="A898" s="108"/>
    </row>
    <row r="899" spans="1:1" x14ac:dyDescent="0.3">
      <c r="A899" s="108"/>
    </row>
    <row r="900" spans="1:1" x14ac:dyDescent="0.3">
      <c r="A900" s="108"/>
    </row>
    <row r="901" spans="1:1" x14ac:dyDescent="0.3">
      <c r="A901" s="108"/>
    </row>
    <row r="902" spans="1:1" x14ac:dyDescent="0.3">
      <c r="A902" s="108"/>
    </row>
    <row r="903" spans="1:1" x14ac:dyDescent="0.3">
      <c r="A903" s="108"/>
    </row>
    <row r="904" spans="1:1" x14ac:dyDescent="0.3">
      <c r="A904" s="108"/>
    </row>
    <row r="905" spans="1:1" x14ac:dyDescent="0.3">
      <c r="A905" s="108"/>
    </row>
    <row r="906" spans="1:1" x14ac:dyDescent="0.3">
      <c r="A906" s="108"/>
    </row>
    <row r="907" spans="1:1" x14ac:dyDescent="0.3">
      <c r="A907" s="108"/>
    </row>
    <row r="908" spans="1:1" x14ac:dyDescent="0.3">
      <c r="A908" s="108"/>
    </row>
    <row r="909" spans="1:1" x14ac:dyDescent="0.3">
      <c r="A909" s="108"/>
    </row>
    <row r="910" spans="1:1" x14ac:dyDescent="0.3">
      <c r="A910" s="108"/>
    </row>
    <row r="911" spans="1:1" x14ac:dyDescent="0.3">
      <c r="A911" s="108"/>
    </row>
    <row r="912" spans="1:1" x14ac:dyDescent="0.3">
      <c r="A912" s="108"/>
    </row>
    <row r="913" spans="1:1" x14ac:dyDescent="0.3">
      <c r="A913" s="108"/>
    </row>
    <row r="914" spans="1:1" x14ac:dyDescent="0.3">
      <c r="A914" s="108"/>
    </row>
    <row r="915" spans="1:1" x14ac:dyDescent="0.3">
      <c r="A915" s="108"/>
    </row>
    <row r="916" spans="1:1" x14ac:dyDescent="0.3">
      <c r="A916" s="108"/>
    </row>
    <row r="917" spans="1:1" x14ac:dyDescent="0.3">
      <c r="A917" s="108"/>
    </row>
    <row r="918" spans="1:1" x14ac:dyDescent="0.3">
      <c r="A918" s="108"/>
    </row>
    <row r="919" spans="1:1" x14ac:dyDescent="0.3">
      <c r="A919" s="108"/>
    </row>
    <row r="920" spans="1:1" x14ac:dyDescent="0.3">
      <c r="A920" s="108"/>
    </row>
    <row r="921" spans="1:1" x14ac:dyDescent="0.3">
      <c r="A921" s="108"/>
    </row>
    <row r="922" spans="1:1" x14ac:dyDescent="0.3">
      <c r="A922" s="108"/>
    </row>
    <row r="923" spans="1:1" x14ac:dyDescent="0.3">
      <c r="A923" s="108"/>
    </row>
    <row r="924" spans="1:1" x14ac:dyDescent="0.3">
      <c r="A924" s="108"/>
    </row>
    <row r="925" spans="1:1" x14ac:dyDescent="0.3">
      <c r="A925" s="108"/>
    </row>
    <row r="926" spans="1:1" x14ac:dyDescent="0.3">
      <c r="A926" s="108"/>
    </row>
    <row r="927" spans="1:1" x14ac:dyDescent="0.3">
      <c r="A927" s="108"/>
    </row>
    <row r="928" spans="1:1" x14ac:dyDescent="0.3">
      <c r="A928" s="108"/>
    </row>
    <row r="929" spans="1:1" x14ac:dyDescent="0.3">
      <c r="A929" s="108"/>
    </row>
    <row r="930" spans="1:1" x14ac:dyDescent="0.3">
      <c r="A930" s="108"/>
    </row>
    <row r="931" spans="1:1" x14ac:dyDescent="0.3">
      <c r="A931" s="108"/>
    </row>
    <row r="932" spans="1:1" x14ac:dyDescent="0.3">
      <c r="A932" s="108"/>
    </row>
    <row r="933" spans="1:1" x14ac:dyDescent="0.3">
      <c r="A933" s="108"/>
    </row>
    <row r="934" spans="1:1" x14ac:dyDescent="0.3">
      <c r="A934" s="108"/>
    </row>
    <row r="935" spans="1:1" x14ac:dyDescent="0.3">
      <c r="A935" s="108"/>
    </row>
    <row r="936" spans="1:1" x14ac:dyDescent="0.3">
      <c r="A936" s="108"/>
    </row>
    <row r="937" spans="1:1" x14ac:dyDescent="0.3">
      <c r="A937" s="108"/>
    </row>
    <row r="938" spans="1:1" x14ac:dyDescent="0.3">
      <c r="A938" s="108"/>
    </row>
    <row r="939" spans="1:1" x14ac:dyDescent="0.3">
      <c r="A939" s="108"/>
    </row>
    <row r="940" spans="1:1" x14ac:dyDescent="0.3">
      <c r="A940" s="108"/>
    </row>
    <row r="941" spans="1:1" x14ac:dyDescent="0.3">
      <c r="A941" s="108"/>
    </row>
    <row r="942" spans="1:1" x14ac:dyDescent="0.3">
      <c r="A942" s="108"/>
    </row>
    <row r="943" spans="1:1" x14ac:dyDescent="0.3">
      <c r="A943" s="108"/>
    </row>
    <row r="944" spans="1:1" x14ac:dyDescent="0.3">
      <c r="A944" s="108"/>
    </row>
    <row r="945" spans="1:1" x14ac:dyDescent="0.3">
      <c r="A945" s="108"/>
    </row>
    <row r="946" spans="1:1" x14ac:dyDescent="0.3">
      <c r="A946" s="108"/>
    </row>
    <row r="947" spans="1:1" x14ac:dyDescent="0.3">
      <c r="A947" s="108"/>
    </row>
    <row r="948" spans="1:1" x14ac:dyDescent="0.3">
      <c r="A948" s="108"/>
    </row>
    <row r="949" spans="1:1" x14ac:dyDescent="0.3">
      <c r="A949" s="108"/>
    </row>
    <row r="950" spans="1:1" x14ac:dyDescent="0.3">
      <c r="A950" s="108"/>
    </row>
    <row r="951" spans="1:1" x14ac:dyDescent="0.3">
      <c r="A951" s="108"/>
    </row>
    <row r="952" spans="1:1" x14ac:dyDescent="0.3">
      <c r="A952" s="108"/>
    </row>
    <row r="953" spans="1:1" x14ac:dyDescent="0.3">
      <c r="A953" s="108"/>
    </row>
    <row r="954" spans="1:1" x14ac:dyDescent="0.3">
      <c r="A954" s="108"/>
    </row>
    <row r="955" spans="1:1" x14ac:dyDescent="0.3">
      <c r="A955" s="108"/>
    </row>
    <row r="956" spans="1:1" x14ac:dyDescent="0.3">
      <c r="A956" s="108"/>
    </row>
    <row r="957" spans="1:1" x14ac:dyDescent="0.3">
      <c r="A957" s="108"/>
    </row>
    <row r="958" spans="1:1" x14ac:dyDescent="0.3">
      <c r="A958" s="108"/>
    </row>
    <row r="959" spans="1:1" x14ac:dyDescent="0.3">
      <c r="A959" s="108"/>
    </row>
    <row r="960" spans="1:1" x14ac:dyDescent="0.3">
      <c r="A960" s="108"/>
    </row>
    <row r="961" spans="1:1" x14ac:dyDescent="0.3">
      <c r="A961" s="108"/>
    </row>
    <row r="962" spans="1:1" x14ac:dyDescent="0.3">
      <c r="A962" s="108"/>
    </row>
    <row r="963" spans="1:1" x14ac:dyDescent="0.3">
      <c r="A963" s="108"/>
    </row>
    <row r="964" spans="1:1" x14ac:dyDescent="0.3">
      <c r="A964" s="108"/>
    </row>
    <row r="965" spans="1:1" x14ac:dyDescent="0.3">
      <c r="A965" s="108"/>
    </row>
    <row r="966" spans="1:1" x14ac:dyDescent="0.3">
      <c r="A966" s="108"/>
    </row>
    <row r="967" spans="1:1" x14ac:dyDescent="0.3">
      <c r="A967" s="108"/>
    </row>
    <row r="968" spans="1:1" x14ac:dyDescent="0.3">
      <c r="A968" s="108"/>
    </row>
    <row r="969" spans="1:1" x14ac:dyDescent="0.3">
      <c r="A969" s="108"/>
    </row>
    <row r="970" spans="1:1" x14ac:dyDescent="0.3">
      <c r="A970" s="108"/>
    </row>
    <row r="971" spans="1:1" x14ac:dyDescent="0.3">
      <c r="A971" s="108"/>
    </row>
    <row r="972" spans="1:1" x14ac:dyDescent="0.3">
      <c r="A972" s="108"/>
    </row>
    <row r="973" spans="1:1" x14ac:dyDescent="0.3">
      <c r="A973" s="108"/>
    </row>
    <row r="974" spans="1:1" x14ac:dyDescent="0.3">
      <c r="A974" s="108"/>
    </row>
    <row r="975" spans="1:1" x14ac:dyDescent="0.3">
      <c r="A975" s="108"/>
    </row>
    <row r="976" spans="1:1" x14ac:dyDescent="0.3">
      <c r="A976" s="108"/>
    </row>
    <row r="977" spans="1:1" x14ac:dyDescent="0.3">
      <c r="A977" s="108"/>
    </row>
    <row r="978" spans="1:1" x14ac:dyDescent="0.3">
      <c r="A978" s="108"/>
    </row>
    <row r="979" spans="1:1" x14ac:dyDescent="0.3">
      <c r="A979" s="108"/>
    </row>
    <row r="980" spans="1:1" x14ac:dyDescent="0.3">
      <c r="A980" s="108"/>
    </row>
    <row r="981" spans="1:1" x14ac:dyDescent="0.3">
      <c r="A981" s="108"/>
    </row>
    <row r="982" spans="1:1" x14ac:dyDescent="0.3">
      <c r="A982" s="108"/>
    </row>
    <row r="983" spans="1:1" x14ac:dyDescent="0.3">
      <c r="A983" s="108"/>
    </row>
    <row r="984" spans="1:1" x14ac:dyDescent="0.3">
      <c r="A984" s="108"/>
    </row>
    <row r="985" spans="1:1" x14ac:dyDescent="0.3">
      <c r="A985" s="108"/>
    </row>
    <row r="986" spans="1:1" x14ac:dyDescent="0.3">
      <c r="A986" s="108"/>
    </row>
    <row r="987" spans="1:1" x14ac:dyDescent="0.3">
      <c r="A987" s="108"/>
    </row>
    <row r="988" spans="1:1" x14ac:dyDescent="0.3">
      <c r="A988" s="108"/>
    </row>
    <row r="989" spans="1:1" x14ac:dyDescent="0.3">
      <c r="A989" s="108"/>
    </row>
    <row r="990" spans="1:1" x14ac:dyDescent="0.3">
      <c r="A990" s="108"/>
    </row>
    <row r="991" spans="1:1" x14ac:dyDescent="0.3">
      <c r="A991" s="108"/>
    </row>
    <row r="992" spans="1:1" x14ac:dyDescent="0.3">
      <c r="A992" s="108"/>
    </row>
    <row r="993" spans="1:1" x14ac:dyDescent="0.3">
      <c r="A993" s="108"/>
    </row>
    <row r="994" spans="1:1" x14ac:dyDescent="0.3">
      <c r="A994" s="108"/>
    </row>
    <row r="995" spans="1:1" x14ac:dyDescent="0.3">
      <c r="A995" s="108"/>
    </row>
    <row r="996" spans="1:1" x14ac:dyDescent="0.3">
      <c r="A996" s="108"/>
    </row>
    <row r="997" spans="1:1" x14ac:dyDescent="0.3">
      <c r="A997" s="108"/>
    </row>
    <row r="998" spans="1:1" x14ac:dyDescent="0.3">
      <c r="A998" s="108"/>
    </row>
    <row r="999" spans="1:1" x14ac:dyDescent="0.3">
      <c r="A999" s="108"/>
    </row>
    <row r="1000" spans="1:1" x14ac:dyDescent="0.3">
      <c r="A1000" s="108"/>
    </row>
    <row r="1001" spans="1:1" x14ac:dyDescent="0.3">
      <c r="A1001" s="108"/>
    </row>
    <row r="1002" spans="1:1" x14ac:dyDescent="0.3">
      <c r="A1002" s="108"/>
    </row>
    <row r="1003" spans="1:1" x14ac:dyDescent="0.3">
      <c r="A1003" s="108"/>
    </row>
    <row r="1004" spans="1:1" x14ac:dyDescent="0.3">
      <c r="A1004" s="108"/>
    </row>
    <row r="1005" spans="1:1" x14ac:dyDescent="0.3">
      <c r="A1005" s="108"/>
    </row>
    <row r="1006" spans="1:1" x14ac:dyDescent="0.3">
      <c r="A1006" s="108"/>
    </row>
    <row r="1007" spans="1:1" x14ac:dyDescent="0.3">
      <c r="A1007" s="108"/>
    </row>
    <row r="1008" spans="1:1" x14ac:dyDescent="0.3">
      <c r="A1008" s="108"/>
    </row>
    <row r="1009" spans="1:1" x14ac:dyDescent="0.3">
      <c r="A1009" s="108"/>
    </row>
    <row r="1010" spans="1:1" x14ac:dyDescent="0.3">
      <c r="A1010" s="108"/>
    </row>
    <row r="1011" spans="1:1" x14ac:dyDescent="0.3">
      <c r="A1011" s="108"/>
    </row>
    <row r="1012" spans="1:1" x14ac:dyDescent="0.3">
      <c r="A1012" s="108"/>
    </row>
    <row r="1013" spans="1:1" x14ac:dyDescent="0.3">
      <c r="A1013" s="108"/>
    </row>
    <row r="1014" spans="1:1" x14ac:dyDescent="0.3">
      <c r="A1014" s="108"/>
    </row>
    <row r="1015" spans="1:1" x14ac:dyDescent="0.3">
      <c r="A1015" s="108"/>
    </row>
    <row r="1016" spans="1:1" x14ac:dyDescent="0.3">
      <c r="A1016" s="108"/>
    </row>
    <row r="1017" spans="1:1" x14ac:dyDescent="0.3">
      <c r="A1017" s="108"/>
    </row>
    <row r="1018" spans="1:1" x14ac:dyDescent="0.3">
      <c r="A1018" s="108"/>
    </row>
    <row r="1019" spans="1:1" x14ac:dyDescent="0.3">
      <c r="A1019" s="108"/>
    </row>
    <row r="1020" spans="1:1" x14ac:dyDescent="0.3">
      <c r="A1020" s="108"/>
    </row>
    <row r="1021" spans="1:1" x14ac:dyDescent="0.3">
      <c r="A1021" s="108"/>
    </row>
    <row r="1022" spans="1:1" x14ac:dyDescent="0.3">
      <c r="A1022" s="108"/>
    </row>
    <row r="1023" spans="1:1" x14ac:dyDescent="0.3">
      <c r="A1023" s="108"/>
    </row>
    <row r="1024" spans="1:1" x14ac:dyDescent="0.3">
      <c r="A1024" s="108"/>
    </row>
    <row r="1025" spans="1:1" x14ac:dyDescent="0.3">
      <c r="A1025" s="108"/>
    </row>
    <row r="1026" spans="1:1" x14ac:dyDescent="0.3">
      <c r="A1026" s="108"/>
    </row>
    <row r="1027" spans="1:1" x14ac:dyDescent="0.3">
      <c r="A1027" s="108"/>
    </row>
    <row r="1028" spans="1:1" x14ac:dyDescent="0.3">
      <c r="A1028" s="108"/>
    </row>
    <row r="1029" spans="1:1" x14ac:dyDescent="0.3">
      <c r="A1029" s="108"/>
    </row>
    <row r="1030" spans="1:1" x14ac:dyDescent="0.3">
      <c r="A1030" s="108"/>
    </row>
    <row r="1031" spans="1:1" x14ac:dyDescent="0.3">
      <c r="A1031" s="108"/>
    </row>
    <row r="1032" spans="1:1" x14ac:dyDescent="0.3">
      <c r="A1032" s="108"/>
    </row>
    <row r="1033" spans="1:1" x14ac:dyDescent="0.3">
      <c r="A1033" s="108"/>
    </row>
    <row r="1034" spans="1:1" x14ac:dyDescent="0.3">
      <c r="A1034" s="108"/>
    </row>
    <row r="1035" spans="1:1" x14ac:dyDescent="0.3">
      <c r="A1035" s="108"/>
    </row>
    <row r="1036" spans="1:1" x14ac:dyDescent="0.3">
      <c r="A1036" s="108"/>
    </row>
    <row r="1037" spans="1:1" x14ac:dyDescent="0.3">
      <c r="A1037" s="108"/>
    </row>
    <row r="1038" spans="1:1" x14ac:dyDescent="0.3">
      <c r="A1038" s="108"/>
    </row>
    <row r="1039" spans="1:1" x14ac:dyDescent="0.3">
      <c r="A1039" s="108"/>
    </row>
    <row r="1040" spans="1:1" x14ac:dyDescent="0.3">
      <c r="A1040" s="108"/>
    </row>
    <row r="1041" spans="1:1" x14ac:dyDescent="0.3">
      <c r="A1041" s="108"/>
    </row>
    <row r="1042" spans="1:1" x14ac:dyDescent="0.3">
      <c r="A1042" s="108"/>
    </row>
    <row r="1043" spans="1:1" x14ac:dyDescent="0.3">
      <c r="A1043" s="108"/>
    </row>
    <row r="1044" spans="1:1" x14ac:dyDescent="0.3">
      <c r="A1044" s="108"/>
    </row>
    <row r="1045" spans="1:1" x14ac:dyDescent="0.3">
      <c r="A1045" s="108"/>
    </row>
    <row r="1046" spans="1:1" x14ac:dyDescent="0.3">
      <c r="A1046" s="108"/>
    </row>
    <row r="1047" spans="1:1" x14ac:dyDescent="0.3">
      <c r="A1047" s="108"/>
    </row>
    <row r="1048" spans="1:1" x14ac:dyDescent="0.3">
      <c r="A1048" s="108"/>
    </row>
    <row r="1049" spans="1:1" x14ac:dyDescent="0.3">
      <c r="A1049" s="108"/>
    </row>
    <row r="1050" spans="1:1" x14ac:dyDescent="0.3">
      <c r="A1050" s="108"/>
    </row>
    <row r="1051" spans="1:1" x14ac:dyDescent="0.3">
      <c r="A1051" s="108"/>
    </row>
    <row r="1052" spans="1:1" x14ac:dyDescent="0.3">
      <c r="A1052" s="108"/>
    </row>
    <row r="1053" spans="1:1" x14ac:dyDescent="0.3">
      <c r="A1053" s="108"/>
    </row>
    <row r="1054" spans="1:1" x14ac:dyDescent="0.3">
      <c r="A1054" s="108"/>
    </row>
    <row r="1055" spans="1:1" x14ac:dyDescent="0.3">
      <c r="A1055" s="108"/>
    </row>
    <row r="1056" spans="1:1" x14ac:dyDescent="0.3">
      <c r="A1056" s="108"/>
    </row>
    <row r="1057" spans="1:1" x14ac:dyDescent="0.3">
      <c r="A1057" s="108"/>
    </row>
    <row r="1058" spans="1:1" x14ac:dyDescent="0.3">
      <c r="A1058" s="108"/>
    </row>
    <row r="1059" spans="1:1" x14ac:dyDescent="0.3">
      <c r="A1059" s="108"/>
    </row>
    <row r="1060" spans="1:1" x14ac:dyDescent="0.3">
      <c r="A1060" s="108"/>
    </row>
    <row r="1061" spans="1:1" x14ac:dyDescent="0.3">
      <c r="A1061" s="108"/>
    </row>
    <row r="1062" spans="1:1" x14ac:dyDescent="0.3">
      <c r="A1062" s="108"/>
    </row>
    <row r="1063" spans="1:1" x14ac:dyDescent="0.3">
      <c r="A1063" s="108"/>
    </row>
    <row r="1064" spans="1:1" x14ac:dyDescent="0.3">
      <c r="A1064" s="108"/>
    </row>
    <row r="1065" spans="1:1" x14ac:dyDescent="0.3">
      <c r="A1065" s="108"/>
    </row>
    <row r="1066" spans="1:1" x14ac:dyDescent="0.3">
      <c r="A1066" s="108"/>
    </row>
    <row r="1067" spans="1:1" x14ac:dyDescent="0.3">
      <c r="A1067" s="108"/>
    </row>
    <row r="1068" spans="1:1" x14ac:dyDescent="0.3">
      <c r="A1068" s="108"/>
    </row>
    <row r="1069" spans="1:1" x14ac:dyDescent="0.3">
      <c r="A1069" s="108"/>
    </row>
    <row r="1070" spans="1:1" x14ac:dyDescent="0.3">
      <c r="A1070" s="108"/>
    </row>
    <row r="1071" spans="1:1" x14ac:dyDescent="0.3">
      <c r="A1071" s="108"/>
    </row>
    <row r="1072" spans="1:1" x14ac:dyDescent="0.3">
      <c r="A1072" s="108"/>
    </row>
    <row r="1073" spans="1:1" x14ac:dyDescent="0.3">
      <c r="A1073" s="108"/>
    </row>
    <row r="1074" spans="1:1" x14ac:dyDescent="0.3">
      <c r="A1074" s="108"/>
    </row>
    <row r="1075" spans="1:1" x14ac:dyDescent="0.3">
      <c r="A1075" s="108"/>
    </row>
    <row r="1076" spans="1:1" x14ac:dyDescent="0.3">
      <c r="A1076" s="108"/>
    </row>
    <row r="1077" spans="1:1" x14ac:dyDescent="0.3">
      <c r="A1077" s="108"/>
    </row>
    <row r="1078" spans="1:1" x14ac:dyDescent="0.3">
      <c r="A1078" s="108"/>
    </row>
    <row r="1079" spans="1:1" x14ac:dyDescent="0.3">
      <c r="A1079" s="108"/>
    </row>
    <row r="1080" spans="1:1" x14ac:dyDescent="0.3">
      <c r="A1080" s="108"/>
    </row>
    <row r="1081" spans="1:1" x14ac:dyDescent="0.3">
      <c r="A1081" s="108"/>
    </row>
    <row r="1082" spans="1:1" x14ac:dyDescent="0.3">
      <c r="A1082" s="108"/>
    </row>
    <row r="1083" spans="1:1" x14ac:dyDescent="0.3">
      <c r="A1083" s="108"/>
    </row>
    <row r="1084" spans="1:1" x14ac:dyDescent="0.3">
      <c r="A1084" s="108"/>
    </row>
    <row r="1085" spans="1:1" x14ac:dyDescent="0.3">
      <c r="A1085" s="108"/>
    </row>
    <row r="1086" spans="1:1" x14ac:dyDescent="0.3">
      <c r="A1086" s="108"/>
    </row>
    <row r="1087" spans="1:1" x14ac:dyDescent="0.3">
      <c r="A1087" s="108"/>
    </row>
    <row r="1088" spans="1:1" x14ac:dyDescent="0.3">
      <c r="A1088" s="108"/>
    </row>
    <row r="1089" spans="1:1" x14ac:dyDescent="0.3">
      <c r="A1089" s="108"/>
    </row>
    <row r="1090" spans="1:1" x14ac:dyDescent="0.3">
      <c r="A1090" s="108"/>
    </row>
    <row r="1091" spans="1:1" x14ac:dyDescent="0.3">
      <c r="A1091" s="108"/>
    </row>
    <row r="1092" spans="1:1" x14ac:dyDescent="0.3">
      <c r="A1092" s="108"/>
    </row>
    <row r="1093" spans="1:1" x14ac:dyDescent="0.3">
      <c r="A1093" s="108"/>
    </row>
    <row r="1094" spans="1:1" x14ac:dyDescent="0.3">
      <c r="A1094" s="108"/>
    </row>
    <row r="1095" spans="1:1" x14ac:dyDescent="0.3">
      <c r="A1095" s="108"/>
    </row>
    <row r="1096" spans="1:1" x14ac:dyDescent="0.3">
      <c r="A1096" s="108"/>
    </row>
    <row r="1097" spans="1:1" x14ac:dyDescent="0.3">
      <c r="A1097" s="108"/>
    </row>
    <row r="1098" spans="1:1" x14ac:dyDescent="0.3">
      <c r="A1098" s="108"/>
    </row>
    <row r="1099" spans="1:1" x14ac:dyDescent="0.3">
      <c r="A1099" s="108"/>
    </row>
    <row r="1100" spans="1:1" x14ac:dyDescent="0.3">
      <c r="A1100" s="108"/>
    </row>
    <row r="1101" spans="1:1" x14ac:dyDescent="0.3">
      <c r="A1101" s="108"/>
    </row>
    <row r="1102" spans="1:1" x14ac:dyDescent="0.3">
      <c r="A1102" s="108"/>
    </row>
    <row r="1103" spans="1:1" x14ac:dyDescent="0.3">
      <c r="A1103" s="108"/>
    </row>
    <row r="1104" spans="1:1" x14ac:dyDescent="0.3">
      <c r="A1104" s="108"/>
    </row>
    <row r="1105" spans="1:1" x14ac:dyDescent="0.3">
      <c r="A1105" s="108"/>
    </row>
    <row r="1106" spans="1:1" x14ac:dyDescent="0.3">
      <c r="A1106" s="108"/>
    </row>
    <row r="1107" spans="1:1" x14ac:dyDescent="0.3">
      <c r="A1107" s="108"/>
    </row>
    <row r="1108" spans="1:1" x14ac:dyDescent="0.3">
      <c r="A1108" s="108"/>
    </row>
    <row r="1109" spans="1:1" x14ac:dyDescent="0.3">
      <c r="A1109" s="108"/>
    </row>
    <row r="1110" spans="1:1" x14ac:dyDescent="0.3">
      <c r="A1110" s="108"/>
    </row>
    <row r="1111" spans="1:1" x14ac:dyDescent="0.3">
      <c r="A1111" s="108"/>
    </row>
    <row r="1112" spans="1:1" x14ac:dyDescent="0.3">
      <c r="A1112" s="108"/>
    </row>
    <row r="1113" spans="1:1" x14ac:dyDescent="0.3">
      <c r="A1113" s="108"/>
    </row>
    <row r="1114" spans="1:1" x14ac:dyDescent="0.3">
      <c r="A1114" s="108"/>
    </row>
    <row r="1115" spans="1:1" x14ac:dyDescent="0.3">
      <c r="A1115" s="108"/>
    </row>
    <row r="1116" spans="1:1" x14ac:dyDescent="0.3">
      <c r="A1116" s="108"/>
    </row>
    <row r="1117" spans="1:1" x14ac:dyDescent="0.3">
      <c r="A1117" s="108"/>
    </row>
    <row r="1118" spans="1:1" x14ac:dyDescent="0.3">
      <c r="A1118" s="108"/>
    </row>
    <row r="1119" spans="1:1" x14ac:dyDescent="0.3">
      <c r="A1119" s="108"/>
    </row>
    <row r="1120" spans="1:1" x14ac:dyDescent="0.3">
      <c r="A1120" s="108"/>
    </row>
    <row r="1121" spans="1:1" x14ac:dyDescent="0.3">
      <c r="A1121" s="108"/>
    </row>
    <row r="1122" spans="1:1" x14ac:dyDescent="0.3">
      <c r="A1122" s="108"/>
    </row>
    <row r="1123" spans="1:1" x14ac:dyDescent="0.3">
      <c r="A1123" s="108"/>
    </row>
    <row r="1124" spans="1:1" x14ac:dyDescent="0.3">
      <c r="A1124" s="108"/>
    </row>
    <row r="1125" spans="1:1" x14ac:dyDescent="0.3">
      <c r="A1125" s="108"/>
    </row>
    <row r="1126" spans="1:1" x14ac:dyDescent="0.3">
      <c r="A1126" s="108"/>
    </row>
    <row r="1127" spans="1:1" x14ac:dyDescent="0.3">
      <c r="A1127" s="108"/>
    </row>
    <row r="1128" spans="1:1" x14ac:dyDescent="0.3">
      <c r="A1128" s="108"/>
    </row>
    <row r="1129" spans="1:1" x14ac:dyDescent="0.3">
      <c r="A1129" s="108"/>
    </row>
    <row r="1130" spans="1:1" x14ac:dyDescent="0.3">
      <c r="A1130" s="108"/>
    </row>
    <row r="1131" spans="1:1" x14ac:dyDescent="0.3">
      <c r="A1131" s="108"/>
    </row>
    <row r="1132" spans="1:1" x14ac:dyDescent="0.3">
      <c r="A1132" s="108"/>
    </row>
    <row r="1133" spans="1:1" x14ac:dyDescent="0.3">
      <c r="A1133" s="108"/>
    </row>
    <row r="1134" spans="1:1" x14ac:dyDescent="0.3">
      <c r="A1134" s="108"/>
    </row>
    <row r="1135" spans="1:1" x14ac:dyDescent="0.3">
      <c r="A1135" s="108"/>
    </row>
    <row r="1136" spans="1:1" x14ac:dyDescent="0.3">
      <c r="A1136" s="108"/>
    </row>
    <row r="1137" spans="1:1" x14ac:dyDescent="0.3">
      <c r="A1137" s="108"/>
    </row>
    <row r="1138" spans="1:1" x14ac:dyDescent="0.3">
      <c r="A1138" s="108"/>
    </row>
    <row r="1139" spans="1:1" x14ac:dyDescent="0.3">
      <c r="A1139" s="108"/>
    </row>
    <row r="1140" spans="1:1" x14ac:dyDescent="0.3">
      <c r="A1140" s="108"/>
    </row>
    <row r="1141" spans="1:1" x14ac:dyDescent="0.3">
      <c r="A1141" s="108"/>
    </row>
    <row r="1142" spans="1:1" x14ac:dyDescent="0.3">
      <c r="A1142" s="108"/>
    </row>
    <row r="1143" spans="1:1" x14ac:dyDescent="0.3">
      <c r="A1143" s="108"/>
    </row>
    <row r="1144" spans="1:1" x14ac:dyDescent="0.3">
      <c r="A1144" s="108"/>
    </row>
    <row r="1145" spans="1:1" x14ac:dyDescent="0.3">
      <c r="A1145" s="108"/>
    </row>
    <row r="1146" spans="1:1" x14ac:dyDescent="0.3">
      <c r="A1146" s="108"/>
    </row>
    <row r="1147" spans="1:1" x14ac:dyDescent="0.3">
      <c r="A1147" s="108"/>
    </row>
    <row r="1148" spans="1:1" x14ac:dyDescent="0.3">
      <c r="A1148" s="108"/>
    </row>
    <row r="1149" spans="1:1" x14ac:dyDescent="0.3">
      <c r="A1149" s="108"/>
    </row>
    <row r="1150" spans="1:1" x14ac:dyDescent="0.3">
      <c r="A1150" s="108"/>
    </row>
    <row r="1151" spans="1:1" x14ac:dyDescent="0.3">
      <c r="A1151" s="108"/>
    </row>
    <row r="1152" spans="1:1" x14ac:dyDescent="0.3">
      <c r="A1152" s="108"/>
    </row>
    <row r="1153" spans="1:1" x14ac:dyDescent="0.3">
      <c r="A1153" s="108"/>
    </row>
    <row r="1154" spans="1:1" x14ac:dyDescent="0.3">
      <c r="A1154" s="108"/>
    </row>
    <row r="1155" spans="1:1" x14ac:dyDescent="0.3">
      <c r="A1155" s="108"/>
    </row>
    <row r="1156" spans="1:1" x14ac:dyDescent="0.3">
      <c r="A1156" s="108"/>
    </row>
    <row r="1157" spans="1:1" x14ac:dyDescent="0.3">
      <c r="A1157" s="108"/>
    </row>
    <row r="1158" spans="1:1" x14ac:dyDescent="0.3">
      <c r="A1158" s="108"/>
    </row>
    <row r="1159" spans="1:1" x14ac:dyDescent="0.3">
      <c r="A1159" s="108"/>
    </row>
    <row r="1160" spans="1:1" x14ac:dyDescent="0.3">
      <c r="A1160" s="108"/>
    </row>
    <row r="1161" spans="1:1" x14ac:dyDescent="0.3">
      <c r="A1161" s="108"/>
    </row>
    <row r="1162" spans="1:1" x14ac:dyDescent="0.3">
      <c r="A1162" s="108"/>
    </row>
    <row r="1163" spans="1:1" x14ac:dyDescent="0.3">
      <c r="A1163" s="108"/>
    </row>
    <row r="1164" spans="1:1" x14ac:dyDescent="0.3">
      <c r="A1164" s="108"/>
    </row>
    <row r="1165" spans="1:1" x14ac:dyDescent="0.3">
      <c r="A1165" s="108"/>
    </row>
    <row r="1166" spans="1:1" x14ac:dyDescent="0.3">
      <c r="A1166" s="108"/>
    </row>
    <row r="1167" spans="1:1" x14ac:dyDescent="0.3">
      <c r="A1167" s="108"/>
    </row>
    <row r="1168" spans="1:1" x14ac:dyDescent="0.3">
      <c r="A1168" s="108"/>
    </row>
    <row r="1169" spans="1:1" x14ac:dyDescent="0.3">
      <c r="A1169" s="108"/>
    </row>
    <row r="1170" spans="1:1" x14ac:dyDescent="0.3">
      <c r="A1170" s="108"/>
    </row>
    <row r="1171" spans="1:1" x14ac:dyDescent="0.3">
      <c r="A1171" s="108"/>
    </row>
    <row r="1172" spans="1:1" x14ac:dyDescent="0.3">
      <c r="A1172" s="108"/>
    </row>
    <row r="1173" spans="1:1" x14ac:dyDescent="0.3">
      <c r="A1173" s="108"/>
    </row>
    <row r="1174" spans="1:1" x14ac:dyDescent="0.3">
      <c r="A1174" s="108"/>
    </row>
    <row r="1175" spans="1:1" x14ac:dyDescent="0.3">
      <c r="A1175" s="108"/>
    </row>
    <row r="1176" spans="1:1" x14ac:dyDescent="0.3">
      <c r="A1176" s="108"/>
    </row>
    <row r="1177" spans="1:1" x14ac:dyDescent="0.3">
      <c r="A1177" s="108"/>
    </row>
    <row r="1178" spans="1:1" x14ac:dyDescent="0.3">
      <c r="A1178" s="108"/>
    </row>
    <row r="1179" spans="1:1" x14ac:dyDescent="0.3">
      <c r="A1179" s="108"/>
    </row>
    <row r="1180" spans="1:1" x14ac:dyDescent="0.3">
      <c r="A1180" s="108"/>
    </row>
    <row r="1181" spans="1:1" x14ac:dyDescent="0.3">
      <c r="A1181" s="108"/>
    </row>
    <row r="1182" spans="1:1" x14ac:dyDescent="0.3">
      <c r="A1182" s="108"/>
    </row>
    <row r="1183" spans="1:1" x14ac:dyDescent="0.3">
      <c r="A1183" s="108"/>
    </row>
    <row r="1184" spans="1:1" x14ac:dyDescent="0.3">
      <c r="A1184" s="108"/>
    </row>
    <row r="1185" spans="1:1" x14ac:dyDescent="0.3">
      <c r="A1185" s="108"/>
    </row>
    <row r="1186" spans="1:1" x14ac:dyDescent="0.3">
      <c r="A1186" s="108"/>
    </row>
    <row r="1187" spans="1:1" x14ac:dyDescent="0.3">
      <c r="A1187" s="108"/>
    </row>
    <row r="1188" spans="1:1" x14ac:dyDescent="0.3">
      <c r="A1188" s="108"/>
    </row>
    <row r="1189" spans="1:1" x14ac:dyDescent="0.3">
      <c r="A1189" s="108"/>
    </row>
    <row r="1190" spans="1:1" x14ac:dyDescent="0.3">
      <c r="A1190" s="108"/>
    </row>
    <row r="1191" spans="1:1" x14ac:dyDescent="0.3">
      <c r="A1191" s="108"/>
    </row>
    <row r="1192" spans="1:1" x14ac:dyDescent="0.3">
      <c r="A1192" s="108"/>
    </row>
    <row r="1193" spans="1:1" x14ac:dyDescent="0.3">
      <c r="A1193" s="108"/>
    </row>
    <row r="1194" spans="1:1" x14ac:dyDescent="0.3">
      <c r="A1194" s="108"/>
    </row>
    <row r="1195" spans="1:1" x14ac:dyDescent="0.3">
      <c r="A1195" s="108"/>
    </row>
    <row r="1196" spans="1:1" x14ac:dyDescent="0.3">
      <c r="A1196" s="108"/>
    </row>
    <row r="1197" spans="1:1" x14ac:dyDescent="0.3">
      <c r="A1197" s="108"/>
    </row>
    <row r="1198" spans="1:1" x14ac:dyDescent="0.3">
      <c r="A1198" s="108"/>
    </row>
    <row r="1199" spans="1:1" x14ac:dyDescent="0.3">
      <c r="A1199" s="108"/>
    </row>
    <row r="1200" spans="1:1" x14ac:dyDescent="0.3">
      <c r="A1200" s="108"/>
    </row>
    <row r="1201" spans="1:1" x14ac:dyDescent="0.3">
      <c r="A1201" s="108"/>
    </row>
    <row r="1202" spans="1:1" x14ac:dyDescent="0.3">
      <c r="A1202" s="108"/>
    </row>
    <row r="1203" spans="1:1" x14ac:dyDescent="0.3">
      <c r="A1203" s="108"/>
    </row>
    <row r="1204" spans="1:1" x14ac:dyDescent="0.3">
      <c r="A1204" s="108"/>
    </row>
    <row r="1205" spans="1:1" x14ac:dyDescent="0.3">
      <c r="A1205" s="108"/>
    </row>
    <row r="1206" spans="1:1" x14ac:dyDescent="0.3">
      <c r="A1206" s="108"/>
    </row>
    <row r="1207" spans="1:1" x14ac:dyDescent="0.3">
      <c r="A1207" s="108"/>
    </row>
    <row r="1208" spans="1:1" x14ac:dyDescent="0.3">
      <c r="A1208" s="108"/>
    </row>
    <row r="1209" spans="1:1" x14ac:dyDescent="0.3">
      <c r="A1209" s="108"/>
    </row>
    <row r="1210" spans="1:1" x14ac:dyDescent="0.3">
      <c r="A1210" s="108"/>
    </row>
    <row r="1211" spans="1:1" x14ac:dyDescent="0.3">
      <c r="A1211" s="108"/>
    </row>
    <row r="1212" spans="1:1" x14ac:dyDescent="0.3">
      <c r="A1212" s="108"/>
    </row>
    <row r="1213" spans="1:1" x14ac:dyDescent="0.3">
      <c r="A1213" s="108"/>
    </row>
    <row r="1214" spans="1:1" x14ac:dyDescent="0.3">
      <c r="A1214" s="108"/>
    </row>
    <row r="1215" spans="1:1" x14ac:dyDescent="0.3">
      <c r="A1215" s="108"/>
    </row>
    <row r="1216" spans="1:1" x14ac:dyDescent="0.3">
      <c r="A1216" s="108"/>
    </row>
    <row r="1217" spans="1:1" x14ac:dyDescent="0.3">
      <c r="A1217" s="108"/>
    </row>
    <row r="1218" spans="1:1" x14ac:dyDescent="0.3">
      <c r="A1218" s="108"/>
    </row>
    <row r="1219" spans="1:1" x14ac:dyDescent="0.3">
      <c r="A1219" s="108"/>
    </row>
    <row r="1220" spans="1:1" x14ac:dyDescent="0.3">
      <c r="A1220" s="108"/>
    </row>
    <row r="1221" spans="1:1" x14ac:dyDescent="0.3">
      <c r="A1221" s="108"/>
    </row>
    <row r="1222" spans="1:1" x14ac:dyDescent="0.3">
      <c r="A1222" s="108"/>
    </row>
    <row r="1223" spans="1:1" x14ac:dyDescent="0.3">
      <c r="A1223" s="108"/>
    </row>
    <row r="1224" spans="1:1" x14ac:dyDescent="0.3">
      <c r="A1224" s="108"/>
    </row>
    <row r="1225" spans="1:1" x14ac:dyDescent="0.3">
      <c r="A1225" s="108"/>
    </row>
    <row r="1226" spans="1:1" x14ac:dyDescent="0.3">
      <c r="A1226" s="108"/>
    </row>
    <row r="1227" spans="1:1" x14ac:dyDescent="0.3">
      <c r="A1227" s="108"/>
    </row>
    <row r="1228" spans="1:1" x14ac:dyDescent="0.3">
      <c r="A1228" s="108"/>
    </row>
    <row r="1229" spans="1:1" x14ac:dyDescent="0.3">
      <c r="A1229" s="108"/>
    </row>
    <row r="1230" spans="1:1" x14ac:dyDescent="0.3">
      <c r="A1230" s="108"/>
    </row>
    <row r="1231" spans="1:1" x14ac:dyDescent="0.3">
      <c r="A1231" s="108"/>
    </row>
    <row r="1232" spans="1:1" x14ac:dyDescent="0.3">
      <c r="A1232" s="108"/>
    </row>
    <row r="1233" spans="1:1" x14ac:dyDescent="0.3">
      <c r="A1233" s="108"/>
    </row>
    <row r="1234" spans="1:1" x14ac:dyDescent="0.3">
      <c r="A1234" s="108"/>
    </row>
    <row r="1235" spans="1:1" x14ac:dyDescent="0.3">
      <c r="A1235" s="108"/>
    </row>
    <row r="1236" spans="1:1" x14ac:dyDescent="0.3">
      <c r="A1236" s="108"/>
    </row>
    <row r="1237" spans="1:1" x14ac:dyDescent="0.3">
      <c r="A1237" s="108"/>
    </row>
    <row r="1238" spans="1:1" x14ac:dyDescent="0.3">
      <c r="A1238" s="108"/>
    </row>
    <row r="1239" spans="1:1" x14ac:dyDescent="0.3">
      <c r="A1239" s="108"/>
    </row>
    <row r="1240" spans="1:1" x14ac:dyDescent="0.3">
      <c r="A1240" s="108"/>
    </row>
    <row r="1241" spans="1:1" x14ac:dyDescent="0.3">
      <c r="A1241" s="108"/>
    </row>
    <row r="1242" spans="1:1" x14ac:dyDescent="0.3">
      <c r="A1242" s="108"/>
    </row>
    <row r="1243" spans="1:1" x14ac:dyDescent="0.3">
      <c r="A1243" s="108"/>
    </row>
    <row r="1244" spans="1:1" x14ac:dyDescent="0.3">
      <c r="A1244" s="108"/>
    </row>
    <row r="1245" spans="1:1" x14ac:dyDescent="0.3">
      <c r="A1245" s="108"/>
    </row>
    <row r="1246" spans="1:1" x14ac:dyDescent="0.3">
      <c r="A1246" s="108"/>
    </row>
    <row r="1247" spans="1:1" x14ac:dyDescent="0.3">
      <c r="A1247" s="108"/>
    </row>
    <row r="1248" spans="1:1" x14ac:dyDescent="0.3">
      <c r="A1248" s="108"/>
    </row>
    <row r="1249" spans="1:1" x14ac:dyDescent="0.3">
      <c r="A1249" s="108"/>
    </row>
    <row r="1250" spans="1:1" x14ac:dyDescent="0.3">
      <c r="A1250" s="108"/>
    </row>
    <row r="1251" spans="1:1" x14ac:dyDescent="0.3">
      <c r="A1251" s="108"/>
    </row>
    <row r="1252" spans="1:1" x14ac:dyDescent="0.3">
      <c r="A1252" s="108"/>
    </row>
    <row r="1253" spans="1:1" x14ac:dyDescent="0.3">
      <c r="A1253" s="108"/>
    </row>
    <row r="1254" spans="1:1" x14ac:dyDescent="0.3">
      <c r="A1254" s="108"/>
    </row>
    <row r="1255" spans="1:1" x14ac:dyDescent="0.3">
      <c r="A1255" s="108"/>
    </row>
    <row r="1256" spans="1:1" x14ac:dyDescent="0.3">
      <c r="A1256" s="108"/>
    </row>
    <row r="1257" spans="1:1" x14ac:dyDescent="0.3">
      <c r="A1257" s="108"/>
    </row>
    <row r="1258" spans="1:1" x14ac:dyDescent="0.3">
      <c r="A1258" s="108"/>
    </row>
    <row r="1259" spans="1:1" x14ac:dyDescent="0.3">
      <c r="A1259" s="108"/>
    </row>
    <row r="1260" spans="1:1" x14ac:dyDescent="0.3">
      <c r="A1260" s="108"/>
    </row>
    <row r="1261" spans="1:1" x14ac:dyDescent="0.3">
      <c r="A1261" s="108"/>
    </row>
    <row r="1262" spans="1:1" x14ac:dyDescent="0.3">
      <c r="A1262" s="108"/>
    </row>
    <row r="1263" spans="1:1" x14ac:dyDescent="0.3">
      <c r="A1263" s="108"/>
    </row>
    <row r="1264" spans="1:1" x14ac:dyDescent="0.3">
      <c r="A1264" s="108"/>
    </row>
    <row r="1265" spans="1:1" x14ac:dyDescent="0.3">
      <c r="A1265" s="108"/>
    </row>
    <row r="1266" spans="1:1" x14ac:dyDescent="0.3">
      <c r="A1266" s="108"/>
    </row>
    <row r="1267" spans="1:1" x14ac:dyDescent="0.3">
      <c r="A1267" s="108"/>
    </row>
    <row r="1268" spans="1:1" x14ac:dyDescent="0.3">
      <c r="A1268" s="108"/>
    </row>
    <row r="1269" spans="1:1" x14ac:dyDescent="0.3">
      <c r="A1269" s="108"/>
    </row>
    <row r="1270" spans="1:1" x14ac:dyDescent="0.3">
      <c r="A1270" s="108"/>
    </row>
    <row r="1271" spans="1:1" x14ac:dyDescent="0.3">
      <c r="A1271" s="108"/>
    </row>
    <row r="1272" spans="1:1" x14ac:dyDescent="0.3">
      <c r="A1272" s="108"/>
    </row>
    <row r="1273" spans="1:1" x14ac:dyDescent="0.3">
      <c r="A1273" s="108"/>
    </row>
    <row r="1274" spans="1:1" x14ac:dyDescent="0.3">
      <c r="A1274" s="108"/>
    </row>
    <row r="1275" spans="1:1" x14ac:dyDescent="0.3">
      <c r="A1275" s="108"/>
    </row>
    <row r="1276" spans="1:1" x14ac:dyDescent="0.3">
      <c r="A1276" s="108"/>
    </row>
    <row r="1277" spans="1:1" x14ac:dyDescent="0.3">
      <c r="A1277" s="108"/>
    </row>
    <row r="1278" spans="1:1" x14ac:dyDescent="0.3">
      <c r="A1278" s="108"/>
    </row>
    <row r="1279" spans="1:1" x14ac:dyDescent="0.3">
      <c r="A1279" s="108"/>
    </row>
    <row r="1280" spans="1:1" x14ac:dyDescent="0.3">
      <c r="A1280" s="108"/>
    </row>
    <row r="1281" spans="1:1" x14ac:dyDescent="0.3">
      <c r="A1281" s="108"/>
    </row>
    <row r="1282" spans="1:1" x14ac:dyDescent="0.3">
      <c r="A1282" s="108"/>
    </row>
    <row r="1283" spans="1:1" x14ac:dyDescent="0.3">
      <c r="A1283" s="108"/>
    </row>
    <row r="1284" spans="1:1" x14ac:dyDescent="0.3">
      <c r="A1284" s="108"/>
    </row>
    <row r="1285" spans="1:1" x14ac:dyDescent="0.3">
      <c r="A1285" s="108"/>
    </row>
    <row r="1286" spans="1:1" x14ac:dyDescent="0.3">
      <c r="A1286" s="108"/>
    </row>
    <row r="1287" spans="1:1" x14ac:dyDescent="0.3">
      <c r="A1287" s="108"/>
    </row>
    <row r="1288" spans="1:1" x14ac:dyDescent="0.3">
      <c r="A1288" s="108"/>
    </row>
    <row r="1289" spans="1:1" x14ac:dyDescent="0.3">
      <c r="A1289" s="108"/>
    </row>
    <row r="1290" spans="1:1" x14ac:dyDescent="0.3">
      <c r="A1290" s="108"/>
    </row>
    <row r="1291" spans="1:1" x14ac:dyDescent="0.3">
      <c r="A1291" s="108"/>
    </row>
    <row r="1292" spans="1:1" x14ac:dyDescent="0.3">
      <c r="A1292" s="108"/>
    </row>
    <row r="1293" spans="1:1" x14ac:dyDescent="0.3">
      <c r="A1293" s="108"/>
    </row>
    <row r="1294" spans="1:1" x14ac:dyDescent="0.3">
      <c r="A1294" s="108"/>
    </row>
    <row r="1295" spans="1:1" x14ac:dyDescent="0.3">
      <c r="A1295" s="108"/>
    </row>
    <row r="1296" spans="1:1" x14ac:dyDescent="0.3">
      <c r="A1296" s="108"/>
    </row>
    <row r="1297" spans="1:1" x14ac:dyDescent="0.3">
      <c r="A1297" s="108"/>
    </row>
    <row r="1298" spans="1:1" x14ac:dyDescent="0.3">
      <c r="A1298" s="108"/>
    </row>
    <row r="1299" spans="1:1" x14ac:dyDescent="0.3">
      <c r="A1299" s="108"/>
    </row>
    <row r="1300" spans="1:1" x14ac:dyDescent="0.3">
      <c r="A1300" s="108"/>
    </row>
    <row r="1301" spans="1:1" x14ac:dyDescent="0.3">
      <c r="A1301" s="108"/>
    </row>
    <row r="1302" spans="1:1" x14ac:dyDescent="0.3">
      <c r="A1302" s="108"/>
    </row>
    <row r="1303" spans="1:1" x14ac:dyDescent="0.3">
      <c r="A1303" s="108"/>
    </row>
    <row r="1304" spans="1:1" x14ac:dyDescent="0.3">
      <c r="A1304" s="108"/>
    </row>
    <row r="1305" spans="1:1" x14ac:dyDescent="0.3">
      <c r="A1305" s="108"/>
    </row>
    <row r="1306" spans="1:1" x14ac:dyDescent="0.3">
      <c r="A1306" s="108"/>
    </row>
    <row r="1307" spans="1:1" x14ac:dyDescent="0.3">
      <c r="A1307" s="108"/>
    </row>
    <row r="1308" spans="1:1" x14ac:dyDescent="0.3">
      <c r="A1308" s="108"/>
    </row>
    <row r="1309" spans="1:1" x14ac:dyDescent="0.3">
      <c r="A1309" s="108"/>
    </row>
    <row r="1310" spans="1:1" x14ac:dyDescent="0.3">
      <c r="A1310" s="108"/>
    </row>
    <row r="1311" spans="1:1" x14ac:dyDescent="0.3">
      <c r="A1311" s="108"/>
    </row>
    <row r="1312" spans="1:1" x14ac:dyDescent="0.3">
      <c r="A1312" s="108"/>
    </row>
    <row r="1313" spans="1:1" x14ac:dyDescent="0.3">
      <c r="A1313" s="108"/>
    </row>
    <row r="1314" spans="1:1" x14ac:dyDescent="0.3">
      <c r="A1314" s="108"/>
    </row>
    <row r="1315" spans="1:1" x14ac:dyDescent="0.3">
      <c r="A1315" s="108"/>
    </row>
    <row r="1316" spans="1:1" x14ac:dyDescent="0.3">
      <c r="A1316" s="108"/>
    </row>
    <row r="1317" spans="1:1" x14ac:dyDescent="0.3">
      <c r="A1317" s="108"/>
    </row>
    <row r="1318" spans="1:1" x14ac:dyDescent="0.3">
      <c r="A1318" s="108"/>
    </row>
    <row r="1319" spans="1:1" x14ac:dyDescent="0.3">
      <c r="A1319" s="108"/>
    </row>
    <row r="1320" spans="1:1" x14ac:dyDescent="0.3">
      <c r="A1320" s="108"/>
    </row>
    <row r="1321" spans="1:1" x14ac:dyDescent="0.3">
      <c r="A1321" s="108"/>
    </row>
    <row r="1322" spans="1:1" x14ac:dyDescent="0.3">
      <c r="A1322" s="108"/>
    </row>
    <row r="1323" spans="1:1" x14ac:dyDescent="0.3">
      <c r="A1323" s="108"/>
    </row>
    <row r="1324" spans="1:1" x14ac:dyDescent="0.3">
      <c r="A1324" s="108"/>
    </row>
    <row r="1325" spans="1:1" x14ac:dyDescent="0.3">
      <c r="A1325" s="108"/>
    </row>
    <row r="1326" spans="1:1" x14ac:dyDescent="0.3">
      <c r="A1326" s="108"/>
    </row>
    <row r="1327" spans="1:1" x14ac:dyDescent="0.3">
      <c r="A1327" s="108"/>
    </row>
    <row r="1328" spans="1:1" x14ac:dyDescent="0.3">
      <c r="A1328" s="108"/>
    </row>
    <row r="1329" spans="1:1" x14ac:dyDescent="0.3">
      <c r="A1329" s="108"/>
    </row>
    <row r="1330" spans="1:1" x14ac:dyDescent="0.3">
      <c r="A1330" s="108"/>
    </row>
    <row r="1331" spans="1:1" x14ac:dyDescent="0.3">
      <c r="A1331" s="108"/>
    </row>
    <row r="1332" spans="1:1" x14ac:dyDescent="0.3">
      <c r="A1332" s="108"/>
    </row>
    <row r="1333" spans="1:1" x14ac:dyDescent="0.3">
      <c r="A1333" s="108"/>
    </row>
    <row r="1334" spans="1:1" x14ac:dyDescent="0.3">
      <c r="A1334" s="108"/>
    </row>
    <row r="1335" spans="1:1" x14ac:dyDescent="0.3">
      <c r="A1335" s="108"/>
    </row>
    <row r="1336" spans="1:1" x14ac:dyDescent="0.3">
      <c r="A1336" s="108"/>
    </row>
    <row r="1337" spans="1:1" x14ac:dyDescent="0.3">
      <c r="A1337" s="108"/>
    </row>
    <row r="1338" spans="1:1" x14ac:dyDescent="0.3">
      <c r="A1338" s="108"/>
    </row>
    <row r="1339" spans="1:1" x14ac:dyDescent="0.3">
      <c r="A1339" s="108"/>
    </row>
    <row r="1340" spans="1:1" x14ac:dyDescent="0.3">
      <c r="A1340" s="108"/>
    </row>
    <row r="1341" spans="1:1" x14ac:dyDescent="0.3">
      <c r="A1341" s="108"/>
    </row>
    <row r="1342" spans="1:1" x14ac:dyDescent="0.3">
      <c r="A1342" s="108"/>
    </row>
    <row r="1343" spans="1:1" x14ac:dyDescent="0.3">
      <c r="A1343" s="108"/>
    </row>
    <row r="1344" spans="1:1" x14ac:dyDescent="0.3">
      <c r="A1344" s="108"/>
    </row>
    <row r="1345" spans="1:1" x14ac:dyDescent="0.3">
      <c r="A1345" s="108"/>
    </row>
    <row r="1346" spans="1:1" x14ac:dyDescent="0.3">
      <c r="A1346" s="108"/>
    </row>
    <row r="1347" spans="1:1" x14ac:dyDescent="0.3">
      <c r="A1347" s="108"/>
    </row>
    <row r="1348" spans="1:1" x14ac:dyDescent="0.3">
      <c r="A1348" s="108"/>
    </row>
    <row r="1349" spans="1:1" x14ac:dyDescent="0.3">
      <c r="A1349" s="108"/>
    </row>
    <row r="1350" spans="1:1" x14ac:dyDescent="0.3">
      <c r="A1350" s="108"/>
    </row>
    <row r="1351" spans="1:1" x14ac:dyDescent="0.3">
      <c r="A1351" s="108"/>
    </row>
    <row r="1352" spans="1:1" x14ac:dyDescent="0.3">
      <c r="A1352" s="108"/>
    </row>
    <row r="1353" spans="1:1" x14ac:dyDescent="0.3">
      <c r="A1353" s="108"/>
    </row>
    <row r="1354" spans="1:1" x14ac:dyDescent="0.3">
      <c r="A1354" s="108"/>
    </row>
    <row r="1355" spans="1:1" x14ac:dyDescent="0.3">
      <c r="A1355" s="108"/>
    </row>
    <row r="1356" spans="1:1" x14ac:dyDescent="0.3">
      <c r="A1356" s="108"/>
    </row>
    <row r="1357" spans="1:1" x14ac:dyDescent="0.3">
      <c r="A1357" s="108"/>
    </row>
    <row r="1358" spans="1:1" x14ac:dyDescent="0.3">
      <c r="A1358" s="108"/>
    </row>
    <row r="1359" spans="1:1" x14ac:dyDescent="0.3">
      <c r="A1359" s="108"/>
    </row>
    <row r="1360" spans="1:1" x14ac:dyDescent="0.3">
      <c r="A1360" s="108"/>
    </row>
    <row r="1361" spans="1:1" x14ac:dyDescent="0.3">
      <c r="A1361" s="108"/>
    </row>
    <row r="1362" spans="1:1" x14ac:dyDescent="0.3">
      <c r="A1362" s="108"/>
    </row>
    <row r="1363" spans="1:1" x14ac:dyDescent="0.3">
      <c r="A1363" s="108"/>
    </row>
    <row r="1364" spans="1:1" x14ac:dyDescent="0.3">
      <c r="A1364" s="108"/>
    </row>
    <row r="1365" spans="1:1" x14ac:dyDescent="0.3">
      <c r="A1365" s="108"/>
    </row>
    <row r="1366" spans="1:1" x14ac:dyDescent="0.3">
      <c r="A1366" s="108"/>
    </row>
    <row r="1367" spans="1:1" x14ac:dyDescent="0.3">
      <c r="A1367" s="108"/>
    </row>
    <row r="1368" spans="1:1" x14ac:dyDescent="0.3">
      <c r="A1368" s="108"/>
    </row>
    <row r="1369" spans="1:1" x14ac:dyDescent="0.3">
      <c r="A1369" s="108"/>
    </row>
    <row r="1370" spans="1:1" x14ac:dyDescent="0.3">
      <c r="A1370" s="108"/>
    </row>
    <row r="1371" spans="1:1" x14ac:dyDescent="0.3">
      <c r="A1371" s="108"/>
    </row>
    <row r="1372" spans="1:1" x14ac:dyDescent="0.3">
      <c r="A1372" s="108"/>
    </row>
    <row r="1373" spans="1:1" x14ac:dyDescent="0.3">
      <c r="A1373" s="108"/>
    </row>
    <row r="1374" spans="1:1" x14ac:dyDescent="0.3">
      <c r="A1374" s="108"/>
    </row>
    <row r="1375" spans="1:1" x14ac:dyDescent="0.3">
      <c r="A1375" s="108"/>
    </row>
    <row r="1376" spans="1:1" x14ac:dyDescent="0.3">
      <c r="A1376" s="108"/>
    </row>
    <row r="1377" spans="1:1" x14ac:dyDescent="0.3">
      <c r="A1377" s="108"/>
    </row>
    <row r="1378" spans="1:1" x14ac:dyDescent="0.3">
      <c r="A1378" s="108"/>
    </row>
    <row r="1379" spans="1:1" x14ac:dyDescent="0.3">
      <c r="A1379" s="108"/>
    </row>
    <row r="1380" spans="1:1" x14ac:dyDescent="0.3">
      <c r="A1380" s="108"/>
    </row>
    <row r="1381" spans="1:1" x14ac:dyDescent="0.3">
      <c r="A1381" s="108"/>
    </row>
    <row r="1382" spans="1:1" x14ac:dyDescent="0.3">
      <c r="A1382" s="108"/>
    </row>
    <row r="1383" spans="1:1" x14ac:dyDescent="0.3">
      <c r="A1383" s="108"/>
    </row>
    <row r="1384" spans="1:1" x14ac:dyDescent="0.3">
      <c r="A1384" s="108"/>
    </row>
    <row r="1385" spans="1:1" x14ac:dyDescent="0.3">
      <c r="A1385" s="108"/>
    </row>
    <row r="1386" spans="1:1" x14ac:dyDescent="0.3">
      <c r="A1386" s="108"/>
    </row>
    <row r="1387" spans="1:1" x14ac:dyDescent="0.3">
      <c r="A1387" s="108"/>
    </row>
    <row r="1388" spans="1:1" x14ac:dyDescent="0.3">
      <c r="A1388" s="108"/>
    </row>
    <row r="1389" spans="1:1" x14ac:dyDescent="0.3">
      <c r="A1389" s="108"/>
    </row>
    <row r="1390" spans="1:1" x14ac:dyDescent="0.3">
      <c r="A1390" s="108"/>
    </row>
    <row r="1391" spans="1:1" x14ac:dyDescent="0.3">
      <c r="A1391" s="108"/>
    </row>
    <row r="1392" spans="1:1" x14ac:dyDescent="0.3">
      <c r="A1392" s="108"/>
    </row>
    <row r="1393" spans="1:1" x14ac:dyDescent="0.3">
      <c r="A1393" s="108"/>
    </row>
    <row r="1394" spans="1:1" x14ac:dyDescent="0.3">
      <c r="A1394" s="108"/>
    </row>
    <row r="1395" spans="1:1" x14ac:dyDescent="0.3">
      <c r="A1395" s="108"/>
    </row>
    <row r="1396" spans="1:1" x14ac:dyDescent="0.3">
      <c r="A1396" s="108"/>
    </row>
    <row r="1397" spans="1:1" x14ac:dyDescent="0.3">
      <c r="A1397" s="108"/>
    </row>
    <row r="1398" spans="1:1" x14ac:dyDescent="0.3">
      <c r="A1398" s="108"/>
    </row>
    <row r="1399" spans="1:1" x14ac:dyDescent="0.3">
      <c r="A1399" s="108"/>
    </row>
    <row r="1400" spans="1:1" x14ac:dyDescent="0.3">
      <c r="A1400" s="108"/>
    </row>
    <row r="1401" spans="1:1" x14ac:dyDescent="0.3">
      <c r="A1401" s="108"/>
    </row>
    <row r="1402" spans="1:1" x14ac:dyDescent="0.3">
      <c r="A1402" s="108"/>
    </row>
    <row r="1403" spans="1:1" x14ac:dyDescent="0.3">
      <c r="A1403" s="108"/>
    </row>
    <row r="1404" spans="1:1" x14ac:dyDescent="0.3">
      <c r="A1404" s="108"/>
    </row>
    <row r="1405" spans="1:1" x14ac:dyDescent="0.3">
      <c r="A1405" s="108"/>
    </row>
    <row r="1406" spans="1:1" x14ac:dyDescent="0.3">
      <c r="A1406" s="108"/>
    </row>
    <row r="1407" spans="1:1" x14ac:dyDescent="0.3">
      <c r="A1407" s="108"/>
    </row>
    <row r="1408" spans="1:1" x14ac:dyDescent="0.3">
      <c r="A1408" s="108"/>
    </row>
    <row r="1409" spans="1:1" x14ac:dyDescent="0.3">
      <c r="A1409" s="108"/>
    </row>
    <row r="1410" spans="1:1" x14ac:dyDescent="0.3">
      <c r="A1410" s="108"/>
    </row>
    <row r="1411" spans="1:1" x14ac:dyDescent="0.3">
      <c r="A1411" s="108"/>
    </row>
    <row r="1412" spans="1:1" x14ac:dyDescent="0.3">
      <c r="A1412" s="108"/>
    </row>
    <row r="1413" spans="1:1" x14ac:dyDescent="0.3">
      <c r="A1413" s="108"/>
    </row>
    <row r="1414" spans="1:1" x14ac:dyDescent="0.3">
      <c r="A1414" s="108"/>
    </row>
    <row r="1415" spans="1:1" x14ac:dyDescent="0.3">
      <c r="A1415" s="108"/>
    </row>
    <row r="1416" spans="1:1" x14ac:dyDescent="0.3">
      <c r="A1416" s="108"/>
    </row>
    <row r="1417" spans="1:1" x14ac:dyDescent="0.3">
      <c r="A1417" s="108"/>
    </row>
    <row r="1418" spans="1:1" x14ac:dyDescent="0.3">
      <c r="A1418" s="108"/>
    </row>
    <row r="1419" spans="1:1" x14ac:dyDescent="0.3">
      <c r="A1419" s="108"/>
    </row>
    <row r="1420" spans="1:1" x14ac:dyDescent="0.3">
      <c r="A1420" s="108"/>
    </row>
    <row r="1421" spans="1:1" x14ac:dyDescent="0.3">
      <c r="A1421" s="108"/>
    </row>
    <row r="1422" spans="1:1" x14ac:dyDescent="0.3">
      <c r="A1422" s="108"/>
    </row>
    <row r="1423" spans="1:1" x14ac:dyDescent="0.3">
      <c r="A1423" s="108"/>
    </row>
    <row r="1424" spans="1:1" x14ac:dyDescent="0.3">
      <c r="A1424" s="108"/>
    </row>
    <row r="1425" spans="1:1" x14ac:dyDescent="0.3">
      <c r="A1425" s="108"/>
    </row>
    <row r="1426" spans="1:1" x14ac:dyDescent="0.3">
      <c r="A1426" s="108"/>
    </row>
    <row r="1427" spans="1:1" x14ac:dyDescent="0.3">
      <c r="A1427" s="108"/>
    </row>
    <row r="1428" spans="1:1" x14ac:dyDescent="0.3">
      <c r="A1428" s="108"/>
    </row>
    <row r="1429" spans="1:1" x14ac:dyDescent="0.3">
      <c r="A1429" s="108"/>
    </row>
    <row r="1430" spans="1:1" x14ac:dyDescent="0.3">
      <c r="A1430" s="108"/>
    </row>
    <row r="1431" spans="1:1" x14ac:dyDescent="0.3">
      <c r="A1431" s="108"/>
    </row>
    <row r="1432" spans="1:1" x14ac:dyDescent="0.3">
      <c r="A1432" s="108"/>
    </row>
    <row r="1433" spans="1:1" x14ac:dyDescent="0.3">
      <c r="A1433" s="108"/>
    </row>
    <row r="1434" spans="1:1" x14ac:dyDescent="0.3">
      <c r="A1434" s="108"/>
    </row>
    <row r="1435" spans="1:1" x14ac:dyDescent="0.3">
      <c r="A1435" s="108"/>
    </row>
    <row r="1436" spans="1:1" x14ac:dyDescent="0.3">
      <c r="A1436" s="108"/>
    </row>
    <row r="1437" spans="1:1" x14ac:dyDescent="0.3">
      <c r="A1437" s="108"/>
    </row>
    <row r="1438" spans="1:1" x14ac:dyDescent="0.3">
      <c r="A1438" s="108"/>
    </row>
    <row r="1439" spans="1:1" x14ac:dyDescent="0.3">
      <c r="A1439" s="108"/>
    </row>
    <row r="1440" spans="1:1" x14ac:dyDescent="0.3">
      <c r="A1440" s="108"/>
    </row>
    <row r="1441" spans="1:1" x14ac:dyDescent="0.3">
      <c r="A1441" s="108"/>
    </row>
    <row r="1442" spans="1:1" x14ac:dyDescent="0.3">
      <c r="A1442" s="108"/>
    </row>
    <row r="1443" spans="1:1" x14ac:dyDescent="0.3">
      <c r="A1443" s="108"/>
    </row>
    <row r="1444" spans="1:1" x14ac:dyDescent="0.3">
      <c r="A1444" s="108"/>
    </row>
    <row r="1445" spans="1:1" x14ac:dyDescent="0.3">
      <c r="A1445" s="108"/>
    </row>
    <row r="1446" spans="1:1" x14ac:dyDescent="0.3">
      <c r="A1446" s="108"/>
    </row>
    <row r="1447" spans="1:1" x14ac:dyDescent="0.3">
      <c r="A1447" s="108"/>
    </row>
    <row r="1448" spans="1:1" x14ac:dyDescent="0.3">
      <c r="A1448" s="108"/>
    </row>
    <row r="1449" spans="1:1" x14ac:dyDescent="0.3">
      <c r="A1449" s="108"/>
    </row>
    <row r="1450" spans="1:1" x14ac:dyDescent="0.3">
      <c r="A1450" s="108"/>
    </row>
    <row r="1451" spans="1:1" x14ac:dyDescent="0.3">
      <c r="A1451" s="108"/>
    </row>
    <row r="1452" spans="1:1" x14ac:dyDescent="0.3">
      <c r="A1452" s="108"/>
    </row>
    <row r="1453" spans="1:1" x14ac:dyDescent="0.3">
      <c r="A1453" s="108"/>
    </row>
    <row r="1454" spans="1:1" x14ac:dyDescent="0.3">
      <c r="A1454" s="108"/>
    </row>
    <row r="1455" spans="1:1" x14ac:dyDescent="0.3">
      <c r="A1455" s="108"/>
    </row>
    <row r="1456" spans="1:1" x14ac:dyDescent="0.3">
      <c r="A1456" s="108"/>
    </row>
    <row r="1457" spans="1:1" x14ac:dyDescent="0.3">
      <c r="A1457" s="108"/>
    </row>
    <row r="1458" spans="1:1" x14ac:dyDescent="0.3">
      <c r="A1458" s="108"/>
    </row>
    <row r="1459" spans="1:1" x14ac:dyDescent="0.3">
      <c r="A1459" s="108"/>
    </row>
    <row r="1460" spans="1:1" x14ac:dyDescent="0.3">
      <c r="A1460" s="108"/>
    </row>
    <row r="1461" spans="1:1" x14ac:dyDescent="0.3">
      <c r="A1461" s="108"/>
    </row>
    <row r="1462" spans="1:1" x14ac:dyDescent="0.3">
      <c r="A1462" s="108"/>
    </row>
    <row r="1463" spans="1:1" x14ac:dyDescent="0.3">
      <c r="A1463" s="108"/>
    </row>
    <row r="1464" spans="1:1" x14ac:dyDescent="0.3">
      <c r="A1464" s="108"/>
    </row>
    <row r="1465" spans="1:1" x14ac:dyDescent="0.3">
      <c r="A1465" s="108"/>
    </row>
    <row r="1466" spans="1:1" x14ac:dyDescent="0.3">
      <c r="A1466" s="108"/>
    </row>
    <row r="1467" spans="1:1" x14ac:dyDescent="0.3">
      <c r="A1467" s="108"/>
    </row>
    <row r="1468" spans="1:1" x14ac:dyDescent="0.3">
      <c r="A1468" s="108"/>
    </row>
    <row r="1469" spans="1:1" x14ac:dyDescent="0.3">
      <c r="A1469" s="108"/>
    </row>
    <row r="1470" spans="1:1" x14ac:dyDescent="0.3">
      <c r="A1470" s="108"/>
    </row>
    <row r="1471" spans="1:1" x14ac:dyDescent="0.3">
      <c r="A1471" s="108"/>
    </row>
    <row r="1472" spans="1:1" x14ac:dyDescent="0.3">
      <c r="A1472" s="108"/>
    </row>
    <row r="1473" spans="1:1" x14ac:dyDescent="0.3">
      <c r="A1473" s="108"/>
    </row>
    <row r="1474" spans="1:1" x14ac:dyDescent="0.3">
      <c r="A1474" s="108"/>
    </row>
    <row r="1475" spans="1:1" x14ac:dyDescent="0.3">
      <c r="A1475" s="108"/>
    </row>
    <row r="1476" spans="1:1" x14ac:dyDescent="0.3">
      <c r="A1476" s="108"/>
    </row>
    <row r="1477" spans="1:1" x14ac:dyDescent="0.3">
      <c r="A1477" s="108"/>
    </row>
    <row r="1478" spans="1:1" x14ac:dyDescent="0.3">
      <c r="A1478" s="108"/>
    </row>
    <row r="1479" spans="1:1" x14ac:dyDescent="0.3">
      <c r="A1479" s="108"/>
    </row>
    <row r="1480" spans="1:1" x14ac:dyDescent="0.3">
      <c r="A1480" s="108"/>
    </row>
    <row r="1481" spans="1:1" x14ac:dyDescent="0.3">
      <c r="A1481" s="108"/>
    </row>
    <row r="1482" spans="1:1" x14ac:dyDescent="0.3">
      <c r="A1482" s="108"/>
    </row>
    <row r="1483" spans="1:1" x14ac:dyDescent="0.3">
      <c r="A1483" s="108"/>
    </row>
    <row r="1484" spans="1:1" x14ac:dyDescent="0.3">
      <c r="A1484" s="108"/>
    </row>
    <row r="1485" spans="1:1" x14ac:dyDescent="0.3">
      <c r="A1485" s="108"/>
    </row>
    <row r="1486" spans="1:1" x14ac:dyDescent="0.3">
      <c r="A1486" s="108"/>
    </row>
    <row r="1487" spans="1:1" x14ac:dyDescent="0.3">
      <c r="A1487" s="108"/>
    </row>
    <row r="1488" spans="1:1" x14ac:dyDescent="0.3">
      <c r="A1488" s="108"/>
    </row>
    <row r="1489" spans="1:1" x14ac:dyDescent="0.3">
      <c r="A1489" s="108"/>
    </row>
    <row r="1490" spans="1:1" x14ac:dyDescent="0.3">
      <c r="A1490" s="108"/>
    </row>
    <row r="1491" spans="1:1" x14ac:dyDescent="0.3">
      <c r="A1491" s="108"/>
    </row>
    <row r="1492" spans="1:1" x14ac:dyDescent="0.3">
      <c r="A1492" s="108"/>
    </row>
    <row r="1493" spans="1:1" x14ac:dyDescent="0.3">
      <c r="A1493" s="108"/>
    </row>
    <row r="1494" spans="1:1" x14ac:dyDescent="0.3">
      <c r="A1494" s="108"/>
    </row>
    <row r="1495" spans="1:1" x14ac:dyDescent="0.3">
      <c r="A1495" s="108"/>
    </row>
    <row r="1496" spans="1:1" x14ac:dyDescent="0.3">
      <c r="A1496" s="108"/>
    </row>
    <row r="1497" spans="1:1" x14ac:dyDescent="0.3">
      <c r="A1497" s="108"/>
    </row>
    <row r="1498" spans="1:1" x14ac:dyDescent="0.3">
      <c r="A1498" s="108"/>
    </row>
    <row r="1499" spans="1:1" x14ac:dyDescent="0.3">
      <c r="A1499" s="108"/>
    </row>
    <row r="1500" spans="1:1" x14ac:dyDescent="0.3">
      <c r="A1500" s="108"/>
    </row>
    <row r="1501" spans="1:1" x14ac:dyDescent="0.3">
      <c r="A1501" s="108"/>
    </row>
    <row r="1502" spans="1:1" x14ac:dyDescent="0.3">
      <c r="A1502" s="108"/>
    </row>
    <row r="1503" spans="1:1" x14ac:dyDescent="0.3">
      <c r="A1503" s="108"/>
    </row>
    <row r="1504" spans="1:1" x14ac:dyDescent="0.3">
      <c r="A1504" s="108"/>
    </row>
    <row r="1505" spans="1:1" x14ac:dyDescent="0.3">
      <c r="A1505" s="108"/>
    </row>
    <row r="1506" spans="1:1" x14ac:dyDescent="0.3">
      <c r="A1506" s="108"/>
    </row>
    <row r="1507" spans="1:1" x14ac:dyDescent="0.3">
      <c r="A1507" s="108"/>
    </row>
    <row r="1508" spans="1:1" x14ac:dyDescent="0.3">
      <c r="A1508" s="108"/>
    </row>
    <row r="1509" spans="1:1" x14ac:dyDescent="0.3">
      <c r="A1509" s="108"/>
    </row>
    <row r="1510" spans="1:1" x14ac:dyDescent="0.3">
      <c r="A1510" s="108"/>
    </row>
    <row r="1511" spans="1:1" x14ac:dyDescent="0.3">
      <c r="A1511" s="108"/>
    </row>
    <row r="1512" spans="1:1" x14ac:dyDescent="0.3">
      <c r="A1512" s="108"/>
    </row>
    <row r="1513" spans="1:1" x14ac:dyDescent="0.3">
      <c r="A1513" s="108"/>
    </row>
    <row r="1514" spans="1:1" x14ac:dyDescent="0.3">
      <c r="A1514" s="108"/>
    </row>
    <row r="1515" spans="1:1" x14ac:dyDescent="0.3">
      <c r="A1515" s="108"/>
    </row>
    <row r="1516" spans="1:1" x14ac:dyDescent="0.3">
      <c r="A1516" s="108"/>
    </row>
    <row r="1517" spans="1:1" x14ac:dyDescent="0.3">
      <c r="A1517" s="108"/>
    </row>
    <row r="1518" spans="1:1" x14ac:dyDescent="0.3">
      <c r="A1518" s="108"/>
    </row>
    <row r="1519" spans="1:1" x14ac:dyDescent="0.3">
      <c r="A1519" s="108"/>
    </row>
    <row r="1520" spans="1:1" x14ac:dyDescent="0.3">
      <c r="A1520" s="108"/>
    </row>
    <row r="1521" spans="1:1" x14ac:dyDescent="0.3">
      <c r="A1521" s="108"/>
    </row>
    <row r="1522" spans="1:1" x14ac:dyDescent="0.3">
      <c r="A1522" s="108"/>
    </row>
    <row r="1523" spans="1:1" x14ac:dyDescent="0.3">
      <c r="A1523" s="108"/>
    </row>
    <row r="1524" spans="1:1" x14ac:dyDescent="0.3">
      <c r="A1524" s="108"/>
    </row>
    <row r="1525" spans="1:1" x14ac:dyDescent="0.3">
      <c r="A1525" s="108"/>
    </row>
    <row r="1526" spans="1:1" x14ac:dyDescent="0.3">
      <c r="A1526" s="108"/>
    </row>
    <row r="1527" spans="1:1" x14ac:dyDescent="0.3">
      <c r="A1527" s="108"/>
    </row>
    <row r="1528" spans="1:1" x14ac:dyDescent="0.3">
      <c r="A1528" s="108"/>
    </row>
    <row r="1529" spans="1:1" x14ac:dyDescent="0.3">
      <c r="A1529" s="108"/>
    </row>
    <row r="1530" spans="1:1" x14ac:dyDescent="0.3">
      <c r="A1530" s="108"/>
    </row>
    <row r="1531" spans="1:1" x14ac:dyDescent="0.3">
      <c r="A1531" s="108"/>
    </row>
    <row r="1532" spans="1:1" x14ac:dyDescent="0.3">
      <c r="A1532" s="108"/>
    </row>
    <row r="1533" spans="1:1" x14ac:dyDescent="0.3">
      <c r="A1533" s="108"/>
    </row>
    <row r="1534" spans="1:1" x14ac:dyDescent="0.3">
      <c r="A1534" s="108"/>
    </row>
    <row r="1535" spans="1:1" x14ac:dyDescent="0.3">
      <c r="A1535" s="108"/>
    </row>
    <row r="1536" spans="1:1" x14ac:dyDescent="0.3">
      <c r="A1536" s="108"/>
    </row>
    <row r="1537" spans="1:1" x14ac:dyDescent="0.3">
      <c r="A1537" s="108"/>
    </row>
    <row r="1538" spans="1:1" x14ac:dyDescent="0.3">
      <c r="A1538" s="108"/>
    </row>
    <row r="1539" spans="1:1" x14ac:dyDescent="0.3">
      <c r="A1539" s="108"/>
    </row>
    <row r="1540" spans="1:1" x14ac:dyDescent="0.3">
      <c r="A1540" s="108"/>
    </row>
    <row r="1541" spans="1:1" x14ac:dyDescent="0.3">
      <c r="A1541" s="108"/>
    </row>
    <row r="1542" spans="1:1" x14ac:dyDescent="0.3">
      <c r="A1542" s="108"/>
    </row>
    <row r="1543" spans="1:1" x14ac:dyDescent="0.3">
      <c r="A1543" s="108"/>
    </row>
    <row r="1544" spans="1:1" x14ac:dyDescent="0.3">
      <c r="A1544" s="108"/>
    </row>
    <row r="1545" spans="1:1" x14ac:dyDescent="0.3">
      <c r="A1545" s="108"/>
    </row>
    <row r="1546" spans="1:1" x14ac:dyDescent="0.3">
      <c r="A1546" s="108"/>
    </row>
    <row r="1547" spans="1:1" x14ac:dyDescent="0.3">
      <c r="A1547" s="108"/>
    </row>
    <row r="1548" spans="1:1" x14ac:dyDescent="0.3">
      <c r="A1548" s="108"/>
    </row>
    <row r="1549" spans="1:1" x14ac:dyDescent="0.3">
      <c r="A1549" s="108"/>
    </row>
    <row r="1550" spans="1:1" x14ac:dyDescent="0.3">
      <c r="A1550" s="108"/>
    </row>
    <row r="1551" spans="1:1" x14ac:dyDescent="0.3">
      <c r="A1551" s="108"/>
    </row>
    <row r="1552" spans="1:1" x14ac:dyDescent="0.3">
      <c r="A1552" s="108"/>
    </row>
    <row r="1553" spans="1:1" x14ac:dyDescent="0.3">
      <c r="A1553" s="108"/>
    </row>
    <row r="1554" spans="1:1" x14ac:dyDescent="0.3">
      <c r="A1554" s="108"/>
    </row>
    <row r="1555" spans="1:1" x14ac:dyDescent="0.3">
      <c r="A1555" s="108"/>
    </row>
    <row r="1556" spans="1:1" x14ac:dyDescent="0.3">
      <c r="A1556" s="108"/>
    </row>
    <row r="1557" spans="1:1" x14ac:dyDescent="0.3">
      <c r="A1557" s="108"/>
    </row>
    <row r="1558" spans="1:1" x14ac:dyDescent="0.3">
      <c r="A1558" s="108"/>
    </row>
    <row r="1559" spans="1:1" x14ac:dyDescent="0.3">
      <c r="A1559" s="108"/>
    </row>
    <row r="1560" spans="1:1" x14ac:dyDescent="0.3">
      <c r="A1560" s="108"/>
    </row>
    <row r="1561" spans="1:1" x14ac:dyDescent="0.3">
      <c r="A1561" s="108"/>
    </row>
    <row r="1562" spans="1:1" x14ac:dyDescent="0.3">
      <c r="A1562" s="108"/>
    </row>
    <row r="1563" spans="1:1" x14ac:dyDescent="0.3">
      <c r="A1563" s="108"/>
    </row>
    <row r="1564" spans="1:1" x14ac:dyDescent="0.3">
      <c r="A1564" s="108"/>
    </row>
    <row r="1565" spans="1:1" x14ac:dyDescent="0.3">
      <c r="A1565" s="108"/>
    </row>
    <row r="1566" spans="1:1" x14ac:dyDescent="0.3">
      <c r="A1566" s="108"/>
    </row>
    <row r="1567" spans="1:1" x14ac:dyDescent="0.3">
      <c r="A1567" s="108"/>
    </row>
    <row r="1568" spans="1:1" x14ac:dyDescent="0.3">
      <c r="A1568" s="108"/>
    </row>
    <row r="1569" spans="1:1" x14ac:dyDescent="0.3">
      <c r="A1569" s="108"/>
    </row>
    <row r="1570" spans="1:1" x14ac:dyDescent="0.3">
      <c r="A1570" s="108"/>
    </row>
    <row r="1571" spans="1:1" x14ac:dyDescent="0.3">
      <c r="A1571" s="108"/>
    </row>
    <row r="1572" spans="1:1" x14ac:dyDescent="0.3">
      <c r="A1572" s="108"/>
    </row>
    <row r="1573" spans="1:1" x14ac:dyDescent="0.3">
      <c r="A1573" s="108"/>
    </row>
    <row r="1574" spans="1:1" x14ac:dyDescent="0.3">
      <c r="A1574" s="108"/>
    </row>
    <row r="1575" spans="1:1" x14ac:dyDescent="0.3">
      <c r="A1575" s="108"/>
    </row>
    <row r="1576" spans="1:1" x14ac:dyDescent="0.3">
      <c r="A1576" s="108"/>
    </row>
    <row r="1577" spans="1:1" x14ac:dyDescent="0.3">
      <c r="A1577" s="108"/>
    </row>
    <row r="1578" spans="1:1" x14ac:dyDescent="0.3">
      <c r="A1578" s="108"/>
    </row>
    <row r="1579" spans="1:1" x14ac:dyDescent="0.3">
      <c r="A1579" s="108"/>
    </row>
    <row r="1580" spans="1:1" x14ac:dyDescent="0.3">
      <c r="A1580" s="108"/>
    </row>
    <row r="1581" spans="1:1" x14ac:dyDescent="0.3">
      <c r="A1581" s="108"/>
    </row>
    <row r="1582" spans="1:1" x14ac:dyDescent="0.3">
      <c r="A1582" s="108"/>
    </row>
    <row r="1583" spans="1:1" x14ac:dyDescent="0.3">
      <c r="A1583" s="108"/>
    </row>
    <row r="1584" spans="1:1" x14ac:dyDescent="0.3">
      <c r="A1584" s="108"/>
    </row>
    <row r="1585" spans="1:1" x14ac:dyDescent="0.3">
      <c r="A1585" s="108"/>
    </row>
    <row r="1586" spans="1:1" x14ac:dyDescent="0.3">
      <c r="A1586" s="108"/>
    </row>
    <row r="1587" spans="1:1" x14ac:dyDescent="0.3">
      <c r="A1587" s="108"/>
    </row>
    <row r="1588" spans="1:1" x14ac:dyDescent="0.3">
      <c r="A1588" s="108"/>
    </row>
    <row r="1589" spans="1:1" x14ac:dyDescent="0.3">
      <c r="A1589" s="108"/>
    </row>
    <row r="1590" spans="1:1" x14ac:dyDescent="0.3">
      <c r="A1590" s="108"/>
    </row>
    <row r="1591" spans="1:1" x14ac:dyDescent="0.3">
      <c r="A1591" s="108"/>
    </row>
    <row r="1592" spans="1:1" x14ac:dyDescent="0.3">
      <c r="A1592" s="108"/>
    </row>
    <row r="1593" spans="1:1" x14ac:dyDescent="0.3">
      <c r="A1593" s="108"/>
    </row>
    <row r="1594" spans="1:1" x14ac:dyDescent="0.3">
      <c r="A1594" s="108"/>
    </row>
    <row r="1595" spans="1:1" x14ac:dyDescent="0.3">
      <c r="A1595" s="108"/>
    </row>
    <row r="1596" spans="1:1" x14ac:dyDescent="0.3">
      <c r="A1596" s="108"/>
    </row>
    <row r="1597" spans="1:1" x14ac:dyDescent="0.3">
      <c r="A1597" s="108"/>
    </row>
    <row r="1598" spans="1:1" x14ac:dyDescent="0.3">
      <c r="A1598" s="108"/>
    </row>
    <row r="1599" spans="1:1" x14ac:dyDescent="0.3">
      <c r="A1599" s="108"/>
    </row>
    <row r="1600" spans="1:1" x14ac:dyDescent="0.3">
      <c r="A1600" s="108"/>
    </row>
    <row r="1601" spans="1:1" x14ac:dyDescent="0.3">
      <c r="A1601" s="108"/>
    </row>
    <row r="1602" spans="1:1" x14ac:dyDescent="0.3">
      <c r="A1602" s="108"/>
    </row>
    <row r="1603" spans="1:1" x14ac:dyDescent="0.3">
      <c r="A1603" s="108"/>
    </row>
    <row r="1604" spans="1:1" x14ac:dyDescent="0.3">
      <c r="A1604" s="108"/>
    </row>
    <row r="1605" spans="1:1" x14ac:dyDescent="0.3">
      <c r="A1605" s="108"/>
    </row>
    <row r="1606" spans="1:1" x14ac:dyDescent="0.3">
      <c r="A1606" s="108"/>
    </row>
    <row r="1607" spans="1:1" x14ac:dyDescent="0.3">
      <c r="A1607" s="108"/>
    </row>
    <row r="1608" spans="1:1" x14ac:dyDescent="0.3">
      <c r="A1608" s="108"/>
    </row>
    <row r="1609" spans="1:1" x14ac:dyDescent="0.3">
      <c r="A1609" s="108"/>
    </row>
    <row r="1610" spans="1:1" x14ac:dyDescent="0.3">
      <c r="A1610" s="108"/>
    </row>
    <row r="1611" spans="1:1" x14ac:dyDescent="0.3">
      <c r="A1611" s="108"/>
    </row>
    <row r="1612" spans="1:1" x14ac:dyDescent="0.3">
      <c r="A1612" s="108"/>
    </row>
    <row r="1613" spans="1:1" x14ac:dyDescent="0.3">
      <c r="A1613" s="108"/>
    </row>
    <row r="1614" spans="1:1" x14ac:dyDescent="0.3">
      <c r="A1614" s="108"/>
    </row>
    <row r="1615" spans="1:1" x14ac:dyDescent="0.3">
      <c r="A1615" s="108"/>
    </row>
    <row r="1616" spans="1:1" x14ac:dyDescent="0.3">
      <c r="A1616" s="108"/>
    </row>
    <row r="1617" spans="1:1" x14ac:dyDescent="0.3">
      <c r="A1617" s="108"/>
    </row>
    <row r="1618" spans="1:1" x14ac:dyDescent="0.3">
      <c r="A1618" s="108"/>
    </row>
    <row r="1619" spans="1:1" x14ac:dyDescent="0.3">
      <c r="A1619" s="108"/>
    </row>
    <row r="1620" spans="1:1" x14ac:dyDescent="0.3">
      <c r="A1620" s="108"/>
    </row>
    <row r="1621" spans="1:1" x14ac:dyDescent="0.3">
      <c r="A1621" s="108"/>
    </row>
    <row r="1622" spans="1:1" x14ac:dyDescent="0.3">
      <c r="A1622" s="108"/>
    </row>
    <row r="1623" spans="1:1" x14ac:dyDescent="0.3">
      <c r="A1623" s="108"/>
    </row>
    <row r="1624" spans="1:1" x14ac:dyDescent="0.3">
      <c r="A1624" s="108"/>
    </row>
    <row r="1625" spans="1:1" x14ac:dyDescent="0.3">
      <c r="A1625" s="108"/>
    </row>
    <row r="1626" spans="1:1" x14ac:dyDescent="0.3">
      <c r="A1626" s="108"/>
    </row>
    <row r="1627" spans="1:1" x14ac:dyDescent="0.3">
      <c r="A1627" s="108"/>
    </row>
    <row r="1628" spans="1:1" x14ac:dyDescent="0.3">
      <c r="A1628" s="108"/>
    </row>
    <row r="1629" spans="1:1" x14ac:dyDescent="0.3">
      <c r="A1629" s="108"/>
    </row>
    <row r="1630" spans="1:1" x14ac:dyDescent="0.3">
      <c r="A1630" s="108"/>
    </row>
    <row r="1631" spans="1:1" x14ac:dyDescent="0.3">
      <c r="A1631" s="108"/>
    </row>
    <row r="1632" spans="1:1" x14ac:dyDescent="0.3">
      <c r="A1632" s="108"/>
    </row>
    <row r="1633" spans="1:1" x14ac:dyDescent="0.3">
      <c r="A1633" s="108"/>
    </row>
    <row r="1634" spans="1:1" x14ac:dyDescent="0.3">
      <c r="A1634" s="108"/>
    </row>
    <row r="1635" spans="1:1" x14ac:dyDescent="0.3">
      <c r="A1635" s="108"/>
    </row>
    <row r="1636" spans="1:1" x14ac:dyDescent="0.3">
      <c r="A1636" s="108"/>
    </row>
    <row r="1637" spans="1:1" x14ac:dyDescent="0.3">
      <c r="A1637" s="108"/>
    </row>
    <row r="1638" spans="1:1" x14ac:dyDescent="0.3">
      <c r="A1638" s="108"/>
    </row>
    <row r="1639" spans="1:1" x14ac:dyDescent="0.3">
      <c r="A1639" s="108"/>
    </row>
    <row r="1640" spans="1:1" x14ac:dyDescent="0.3">
      <c r="A1640" s="108"/>
    </row>
    <row r="1641" spans="1:1" x14ac:dyDescent="0.3">
      <c r="A1641" s="108"/>
    </row>
    <row r="1642" spans="1:1" x14ac:dyDescent="0.3">
      <c r="A1642" s="108"/>
    </row>
    <row r="1643" spans="1:1" x14ac:dyDescent="0.3">
      <c r="A1643" s="108"/>
    </row>
    <row r="1644" spans="1:1" x14ac:dyDescent="0.3">
      <c r="A1644" s="108"/>
    </row>
    <row r="1645" spans="1:1" x14ac:dyDescent="0.3">
      <c r="A1645" s="108"/>
    </row>
    <row r="1646" spans="1:1" x14ac:dyDescent="0.3">
      <c r="A1646" s="108"/>
    </row>
    <row r="1647" spans="1:1" x14ac:dyDescent="0.3">
      <c r="A1647" s="108"/>
    </row>
    <row r="1648" spans="1:1" x14ac:dyDescent="0.3">
      <c r="A1648" s="108"/>
    </row>
    <row r="1649" spans="1:1" x14ac:dyDescent="0.3">
      <c r="A1649" s="108"/>
    </row>
    <row r="1650" spans="1:1" x14ac:dyDescent="0.3">
      <c r="A1650" s="108"/>
    </row>
    <row r="1651" spans="1:1" x14ac:dyDescent="0.3">
      <c r="A1651" s="108"/>
    </row>
    <row r="1652" spans="1:1" x14ac:dyDescent="0.3">
      <c r="A1652" s="108"/>
    </row>
    <row r="1653" spans="1:1" x14ac:dyDescent="0.3">
      <c r="A1653" s="108"/>
    </row>
    <row r="1654" spans="1:1" x14ac:dyDescent="0.3">
      <c r="A1654" s="108"/>
    </row>
    <row r="1655" spans="1:1" x14ac:dyDescent="0.3">
      <c r="A1655" s="108"/>
    </row>
    <row r="1656" spans="1:1" x14ac:dyDescent="0.3">
      <c r="A1656" s="108"/>
    </row>
    <row r="1657" spans="1:1" x14ac:dyDescent="0.3">
      <c r="A1657" s="108"/>
    </row>
    <row r="1658" spans="1:1" x14ac:dyDescent="0.3">
      <c r="A1658" s="108"/>
    </row>
    <row r="1659" spans="1:1" x14ac:dyDescent="0.3">
      <c r="A1659" s="108"/>
    </row>
    <row r="1660" spans="1:1" x14ac:dyDescent="0.3">
      <c r="A1660" s="108"/>
    </row>
    <row r="1661" spans="1:1" x14ac:dyDescent="0.3">
      <c r="A1661" s="108"/>
    </row>
    <row r="1662" spans="1:1" x14ac:dyDescent="0.3">
      <c r="A1662" s="108"/>
    </row>
    <row r="1663" spans="1:1" x14ac:dyDescent="0.3">
      <c r="A1663" s="108"/>
    </row>
    <row r="1664" spans="1:1" x14ac:dyDescent="0.3">
      <c r="A1664" s="108"/>
    </row>
    <row r="1665" spans="1:1" x14ac:dyDescent="0.3">
      <c r="A1665" s="108"/>
    </row>
    <row r="1666" spans="1:1" x14ac:dyDescent="0.3">
      <c r="A1666" s="108"/>
    </row>
    <row r="1667" spans="1:1" x14ac:dyDescent="0.3">
      <c r="A1667" s="108"/>
    </row>
    <row r="1668" spans="1:1" x14ac:dyDescent="0.3">
      <c r="A1668" s="108"/>
    </row>
    <row r="1669" spans="1:1" x14ac:dyDescent="0.3">
      <c r="A1669" s="108"/>
    </row>
    <row r="1670" spans="1:1" x14ac:dyDescent="0.3">
      <c r="A1670" s="108"/>
    </row>
    <row r="1671" spans="1:1" x14ac:dyDescent="0.3">
      <c r="A1671" s="108"/>
    </row>
    <row r="1672" spans="1:1" x14ac:dyDescent="0.3">
      <c r="A1672" s="108"/>
    </row>
    <row r="1673" spans="1:1" x14ac:dyDescent="0.3">
      <c r="A1673" s="108"/>
    </row>
    <row r="1674" spans="1:1" x14ac:dyDescent="0.3">
      <c r="A1674" s="108"/>
    </row>
    <row r="1675" spans="1:1" x14ac:dyDescent="0.3">
      <c r="A1675" s="108"/>
    </row>
    <row r="1676" spans="1:1" x14ac:dyDescent="0.3">
      <c r="A1676" s="108"/>
    </row>
    <row r="1677" spans="1:1" x14ac:dyDescent="0.3">
      <c r="A1677" s="108"/>
    </row>
    <row r="1678" spans="1:1" x14ac:dyDescent="0.3">
      <c r="A1678" s="108"/>
    </row>
    <row r="1679" spans="1:1" x14ac:dyDescent="0.3">
      <c r="A1679" s="108"/>
    </row>
    <row r="1680" spans="1:1" x14ac:dyDescent="0.3">
      <c r="A1680" s="108"/>
    </row>
    <row r="1681" spans="1:1" x14ac:dyDescent="0.3">
      <c r="A1681" s="108"/>
    </row>
    <row r="1682" spans="1:1" x14ac:dyDescent="0.3">
      <c r="A1682" s="108"/>
    </row>
    <row r="1683" spans="1:1" x14ac:dyDescent="0.3">
      <c r="A1683" s="108"/>
    </row>
    <row r="1684" spans="1:1" x14ac:dyDescent="0.3">
      <c r="A1684" s="108"/>
    </row>
    <row r="1685" spans="1:1" x14ac:dyDescent="0.3">
      <c r="A1685" s="108"/>
    </row>
    <row r="1686" spans="1:1" x14ac:dyDescent="0.3">
      <c r="A1686" s="108"/>
    </row>
    <row r="1687" spans="1:1" x14ac:dyDescent="0.3">
      <c r="A1687" s="108"/>
    </row>
    <row r="1688" spans="1:1" x14ac:dyDescent="0.3">
      <c r="A1688" s="108"/>
    </row>
    <row r="1689" spans="1:1" x14ac:dyDescent="0.3">
      <c r="A1689" s="108"/>
    </row>
    <row r="1690" spans="1:1" x14ac:dyDescent="0.3">
      <c r="A1690" s="108"/>
    </row>
    <row r="1691" spans="1:1" x14ac:dyDescent="0.3">
      <c r="A1691" s="108"/>
    </row>
    <row r="1692" spans="1:1" x14ac:dyDescent="0.3">
      <c r="A1692" s="108"/>
    </row>
    <row r="1693" spans="1:1" x14ac:dyDescent="0.3">
      <c r="A1693" s="108"/>
    </row>
    <row r="1694" spans="1:1" x14ac:dyDescent="0.3">
      <c r="A1694" s="108"/>
    </row>
    <row r="1695" spans="1:1" x14ac:dyDescent="0.3">
      <c r="A1695" s="108"/>
    </row>
    <row r="1696" spans="1:1" x14ac:dyDescent="0.3">
      <c r="A1696" s="108"/>
    </row>
    <row r="1697" spans="1:1" x14ac:dyDescent="0.3">
      <c r="A1697" s="108"/>
    </row>
    <row r="1698" spans="1:1" x14ac:dyDescent="0.3">
      <c r="A1698" s="108"/>
    </row>
    <row r="1699" spans="1:1" x14ac:dyDescent="0.3">
      <c r="A1699" s="108"/>
    </row>
    <row r="1700" spans="1:1" x14ac:dyDescent="0.3">
      <c r="A1700" s="108"/>
    </row>
    <row r="1701" spans="1:1" x14ac:dyDescent="0.3">
      <c r="A1701" s="108"/>
    </row>
    <row r="1702" spans="1:1" x14ac:dyDescent="0.3">
      <c r="A1702" s="108"/>
    </row>
    <row r="1703" spans="1:1" x14ac:dyDescent="0.3">
      <c r="A1703" s="108"/>
    </row>
    <row r="1704" spans="1:1" x14ac:dyDescent="0.3">
      <c r="A1704" s="108"/>
    </row>
    <row r="1705" spans="1:1" x14ac:dyDescent="0.3">
      <c r="A1705" s="108"/>
    </row>
    <row r="1706" spans="1:1" x14ac:dyDescent="0.3">
      <c r="A1706" s="108"/>
    </row>
    <row r="1707" spans="1:1" x14ac:dyDescent="0.3">
      <c r="A1707" s="108"/>
    </row>
    <row r="1708" spans="1:1" x14ac:dyDescent="0.3">
      <c r="A1708" s="108"/>
    </row>
    <row r="1709" spans="1:1" x14ac:dyDescent="0.3">
      <c r="A1709" s="108"/>
    </row>
    <row r="1710" spans="1:1" x14ac:dyDescent="0.3">
      <c r="A1710" s="108"/>
    </row>
    <row r="1711" spans="1:1" x14ac:dyDescent="0.3">
      <c r="A1711" s="108"/>
    </row>
    <row r="1712" spans="1:1" x14ac:dyDescent="0.3">
      <c r="A1712" s="108"/>
    </row>
    <row r="1713" spans="1:1" x14ac:dyDescent="0.3">
      <c r="A1713" s="108"/>
    </row>
    <row r="1714" spans="1:1" x14ac:dyDescent="0.3">
      <c r="A1714" s="108"/>
    </row>
    <row r="1715" spans="1:1" x14ac:dyDescent="0.3">
      <c r="A1715" s="108"/>
    </row>
    <row r="1716" spans="1:1" x14ac:dyDescent="0.3">
      <c r="A1716" s="108"/>
    </row>
    <row r="1717" spans="1:1" x14ac:dyDescent="0.3">
      <c r="A1717" s="108"/>
    </row>
    <row r="1718" spans="1:1" x14ac:dyDescent="0.3">
      <c r="A1718" s="108"/>
    </row>
    <row r="1719" spans="1:1" x14ac:dyDescent="0.3">
      <c r="A1719" s="108"/>
    </row>
    <row r="1720" spans="1:1" x14ac:dyDescent="0.3">
      <c r="A1720" s="108"/>
    </row>
    <row r="1721" spans="1:1" x14ac:dyDescent="0.3">
      <c r="A1721" s="108"/>
    </row>
    <row r="1722" spans="1:1" x14ac:dyDescent="0.3">
      <c r="A1722" s="108"/>
    </row>
    <row r="1723" spans="1:1" x14ac:dyDescent="0.3">
      <c r="A1723" s="108"/>
    </row>
    <row r="1724" spans="1:1" x14ac:dyDescent="0.3">
      <c r="A1724" s="108"/>
    </row>
    <row r="1725" spans="1:1" x14ac:dyDescent="0.3">
      <c r="A1725" s="108"/>
    </row>
    <row r="1726" spans="1:1" x14ac:dyDescent="0.3">
      <c r="A1726" s="108"/>
    </row>
    <row r="1727" spans="1:1" x14ac:dyDescent="0.3">
      <c r="A1727" s="108"/>
    </row>
    <row r="1728" spans="1:1" x14ac:dyDescent="0.3">
      <c r="A1728" s="108"/>
    </row>
    <row r="1729" spans="1:1" x14ac:dyDescent="0.3">
      <c r="A1729" s="108"/>
    </row>
    <row r="1730" spans="1:1" x14ac:dyDescent="0.3">
      <c r="A1730" s="108"/>
    </row>
    <row r="1731" spans="1:1" x14ac:dyDescent="0.3">
      <c r="A1731" s="108"/>
    </row>
    <row r="1732" spans="1:1" x14ac:dyDescent="0.3">
      <c r="A1732" s="108"/>
    </row>
    <row r="1733" spans="1:1" x14ac:dyDescent="0.3">
      <c r="A1733" s="108"/>
    </row>
    <row r="1734" spans="1:1" x14ac:dyDescent="0.3">
      <c r="A1734" s="108"/>
    </row>
    <row r="1735" spans="1:1" x14ac:dyDescent="0.3">
      <c r="A1735" s="108"/>
    </row>
    <row r="1736" spans="1:1" x14ac:dyDescent="0.3">
      <c r="A1736" s="108"/>
    </row>
    <row r="1737" spans="1:1" x14ac:dyDescent="0.3">
      <c r="A1737" s="108"/>
    </row>
    <row r="1738" spans="1:1" x14ac:dyDescent="0.3">
      <c r="A1738" s="108"/>
    </row>
    <row r="1739" spans="1:1" x14ac:dyDescent="0.3">
      <c r="A1739" s="108"/>
    </row>
    <row r="1740" spans="1:1" x14ac:dyDescent="0.3">
      <c r="A1740" s="108"/>
    </row>
    <row r="1741" spans="1:1" x14ac:dyDescent="0.3">
      <c r="A1741" s="108"/>
    </row>
    <row r="1742" spans="1:1" x14ac:dyDescent="0.3">
      <c r="A1742" s="108"/>
    </row>
    <row r="1743" spans="1:1" x14ac:dyDescent="0.3">
      <c r="A1743" s="108"/>
    </row>
    <row r="1744" spans="1:1" x14ac:dyDescent="0.3">
      <c r="A1744" s="108"/>
    </row>
    <row r="1745" spans="1:1" x14ac:dyDescent="0.3">
      <c r="A1745" s="108"/>
    </row>
    <row r="1746" spans="1:1" x14ac:dyDescent="0.3">
      <c r="A1746" s="108"/>
    </row>
    <row r="1747" spans="1:1" x14ac:dyDescent="0.3">
      <c r="A1747" s="108"/>
    </row>
    <row r="1748" spans="1:1" x14ac:dyDescent="0.3">
      <c r="A1748" s="108"/>
    </row>
    <row r="1749" spans="1:1" x14ac:dyDescent="0.3">
      <c r="A1749" s="108"/>
    </row>
    <row r="1750" spans="1:1" x14ac:dyDescent="0.3">
      <c r="A1750" s="108"/>
    </row>
    <row r="1751" spans="1:1" x14ac:dyDescent="0.3">
      <c r="A1751" s="108"/>
    </row>
    <row r="1752" spans="1:1" x14ac:dyDescent="0.3">
      <c r="A1752" s="108"/>
    </row>
    <row r="1753" spans="1:1" x14ac:dyDescent="0.3">
      <c r="A1753" s="108"/>
    </row>
    <row r="1754" spans="1:1" x14ac:dyDescent="0.3">
      <c r="A1754" s="108"/>
    </row>
    <row r="1755" spans="1:1" x14ac:dyDescent="0.3">
      <c r="A1755" s="108"/>
    </row>
    <row r="1756" spans="1:1" x14ac:dyDescent="0.3">
      <c r="A1756" s="108"/>
    </row>
    <row r="1757" spans="1:1" x14ac:dyDescent="0.3">
      <c r="A1757" s="108"/>
    </row>
    <row r="1758" spans="1:1" x14ac:dyDescent="0.3">
      <c r="A1758" s="108"/>
    </row>
    <row r="1759" spans="1:1" x14ac:dyDescent="0.3">
      <c r="A1759" s="108"/>
    </row>
    <row r="1760" spans="1:1" x14ac:dyDescent="0.3">
      <c r="A1760" s="108"/>
    </row>
    <row r="1761" spans="1:1" x14ac:dyDescent="0.3">
      <c r="A1761" s="108"/>
    </row>
    <row r="1762" spans="1:1" x14ac:dyDescent="0.3">
      <c r="A1762" s="108"/>
    </row>
    <row r="1763" spans="1:1" x14ac:dyDescent="0.3">
      <c r="A1763" s="108"/>
    </row>
    <row r="1764" spans="1:1" x14ac:dyDescent="0.3">
      <c r="A1764" s="108"/>
    </row>
    <row r="1765" spans="1:1" x14ac:dyDescent="0.3">
      <c r="A1765" s="108"/>
    </row>
    <row r="1766" spans="1:1" x14ac:dyDescent="0.3">
      <c r="A1766" s="108"/>
    </row>
    <row r="1767" spans="1:1" x14ac:dyDescent="0.3">
      <c r="A1767" s="108"/>
    </row>
    <row r="1768" spans="1:1" x14ac:dyDescent="0.3">
      <c r="A1768" s="108"/>
    </row>
    <row r="1769" spans="1:1" x14ac:dyDescent="0.3">
      <c r="A1769" s="108"/>
    </row>
    <row r="1770" spans="1:1" x14ac:dyDescent="0.3">
      <c r="A1770" s="108"/>
    </row>
    <row r="1771" spans="1:1" x14ac:dyDescent="0.3">
      <c r="A1771" s="108"/>
    </row>
    <row r="1772" spans="1:1" x14ac:dyDescent="0.3">
      <c r="A1772" s="108"/>
    </row>
    <row r="1773" spans="1:1" x14ac:dyDescent="0.3">
      <c r="A1773" s="108"/>
    </row>
    <row r="1774" spans="1:1" x14ac:dyDescent="0.3">
      <c r="A1774" s="108"/>
    </row>
    <row r="1775" spans="1:1" x14ac:dyDescent="0.3">
      <c r="A1775" s="108"/>
    </row>
    <row r="1776" spans="1:1" x14ac:dyDescent="0.3">
      <c r="A1776" s="108"/>
    </row>
    <row r="1777" spans="1:1" x14ac:dyDescent="0.3">
      <c r="A1777" s="108"/>
    </row>
    <row r="1778" spans="1:1" x14ac:dyDescent="0.3">
      <c r="A1778" s="108"/>
    </row>
    <row r="1779" spans="1:1" x14ac:dyDescent="0.3">
      <c r="A1779" s="108"/>
    </row>
    <row r="1780" spans="1:1" x14ac:dyDescent="0.3">
      <c r="A1780" s="108"/>
    </row>
    <row r="1781" spans="1:1" x14ac:dyDescent="0.3">
      <c r="A1781" s="108"/>
    </row>
    <row r="1782" spans="1:1" x14ac:dyDescent="0.3">
      <c r="A1782" s="108"/>
    </row>
    <row r="1783" spans="1:1" x14ac:dyDescent="0.3">
      <c r="A1783" s="108"/>
    </row>
    <row r="1784" spans="1:1" x14ac:dyDescent="0.3">
      <c r="A1784" s="108"/>
    </row>
    <row r="1785" spans="1:1" x14ac:dyDescent="0.3">
      <c r="A1785" s="108"/>
    </row>
    <row r="1786" spans="1:1" x14ac:dyDescent="0.3">
      <c r="A1786" s="108"/>
    </row>
    <row r="1787" spans="1:1" x14ac:dyDescent="0.3">
      <c r="A1787" s="108"/>
    </row>
    <row r="1788" spans="1:1" x14ac:dyDescent="0.3">
      <c r="A1788" s="108"/>
    </row>
    <row r="1789" spans="1:1" x14ac:dyDescent="0.3">
      <c r="A1789" s="108"/>
    </row>
    <row r="1790" spans="1:1" x14ac:dyDescent="0.3">
      <c r="A1790" s="108"/>
    </row>
    <row r="1791" spans="1:1" x14ac:dyDescent="0.3">
      <c r="A1791" s="108"/>
    </row>
    <row r="1792" spans="1:1" x14ac:dyDescent="0.3">
      <c r="A1792" s="108"/>
    </row>
    <row r="1793" spans="1:1" x14ac:dyDescent="0.3">
      <c r="A1793" s="108"/>
    </row>
    <row r="1794" spans="1:1" x14ac:dyDescent="0.3">
      <c r="A1794" s="108"/>
    </row>
    <row r="1795" spans="1:1" x14ac:dyDescent="0.3">
      <c r="A1795" s="108"/>
    </row>
    <row r="1796" spans="1:1" x14ac:dyDescent="0.3">
      <c r="A1796" s="108"/>
    </row>
    <row r="1797" spans="1:1" x14ac:dyDescent="0.3">
      <c r="A1797" s="108"/>
    </row>
    <row r="1798" spans="1:1" x14ac:dyDescent="0.3">
      <c r="A1798" s="108"/>
    </row>
    <row r="1799" spans="1:1" x14ac:dyDescent="0.3">
      <c r="A1799" s="108"/>
    </row>
    <row r="1800" spans="1:1" x14ac:dyDescent="0.3">
      <c r="A1800" s="108"/>
    </row>
    <row r="1801" spans="1:1" x14ac:dyDescent="0.3">
      <c r="A1801" s="108"/>
    </row>
    <row r="1802" spans="1:1" x14ac:dyDescent="0.3">
      <c r="A1802" s="108"/>
    </row>
    <row r="1803" spans="1:1" x14ac:dyDescent="0.3">
      <c r="A1803" s="108"/>
    </row>
    <row r="1804" spans="1:1" x14ac:dyDescent="0.3">
      <c r="A1804" s="108"/>
    </row>
    <row r="1805" spans="1:1" x14ac:dyDescent="0.3">
      <c r="A1805" s="108"/>
    </row>
    <row r="1806" spans="1:1" x14ac:dyDescent="0.3">
      <c r="A1806" s="108"/>
    </row>
    <row r="1807" spans="1:1" x14ac:dyDescent="0.3">
      <c r="A1807" s="108"/>
    </row>
    <row r="1808" spans="1:1" x14ac:dyDescent="0.3">
      <c r="A1808" s="108"/>
    </row>
    <row r="1809" spans="1:1" x14ac:dyDescent="0.3">
      <c r="A1809" s="108"/>
    </row>
    <row r="1810" spans="1:1" x14ac:dyDescent="0.3">
      <c r="A1810" s="108"/>
    </row>
    <row r="1811" spans="1:1" x14ac:dyDescent="0.3">
      <c r="A1811" s="108"/>
    </row>
    <row r="1812" spans="1:1" x14ac:dyDescent="0.3">
      <c r="A1812" s="108"/>
    </row>
    <row r="1813" spans="1:1" x14ac:dyDescent="0.3">
      <c r="A1813" s="108"/>
    </row>
    <row r="1814" spans="1:1" x14ac:dyDescent="0.3">
      <c r="A1814" s="108"/>
    </row>
    <row r="1815" spans="1:1" x14ac:dyDescent="0.3">
      <c r="A1815" s="108"/>
    </row>
    <row r="1816" spans="1:1" x14ac:dyDescent="0.3">
      <c r="A1816" s="108"/>
    </row>
    <row r="1817" spans="1:1" x14ac:dyDescent="0.3">
      <c r="A1817" s="108"/>
    </row>
    <row r="1818" spans="1:1" x14ac:dyDescent="0.3">
      <c r="A1818" s="108"/>
    </row>
    <row r="1819" spans="1:1" x14ac:dyDescent="0.3">
      <c r="A1819" s="108"/>
    </row>
    <row r="1820" spans="1:1" x14ac:dyDescent="0.3">
      <c r="A1820" s="108"/>
    </row>
    <row r="1821" spans="1:1" x14ac:dyDescent="0.3">
      <c r="A1821" s="108"/>
    </row>
    <row r="1822" spans="1:1" x14ac:dyDescent="0.3">
      <c r="A1822" s="108"/>
    </row>
    <row r="1823" spans="1:1" x14ac:dyDescent="0.3">
      <c r="A1823" s="108"/>
    </row>
    <row r="1824" spans="1:1" x14ac:dyDescent="0.3">
      <c r="A1824" s="108"/>
    </row>
    <row r="1825" spans="1:1" x14ac:dyDescent="0.3">
      <c r="A1825" s="108"/>
    </row>
    <row r="1826" spans="1:1" x14ac:dyDescent="0.3">
      <c r="A1826" s="108"/>
    </row>
    <row r="1827" spans="1:1" x14ac:dyDescent="0.3">
      <c r="A1827" s="108"/>
    </row>
    <row r="1828" spans="1:1" x14ac:dyDescent="0.3">
      <c r="A1828" s="108"/>
    </row>
    <row r="1829" spans="1:1" x14ac:dyDescent="0.3">
      <c r="A1829" s="108"/>
    </row>
    <row r="1830" spans="1:1" x14ac:dyDescent="0.3">
      <c r="A1830" s="108"/>
    </row>
    <row r="1831" spans="1:1" x14ac:dyDescent="0.3">
      <c r="A1831" s="108"/>
    </row>
    <row r="1832" spans="1:1" x14ac:dyDescent="0.3">
      <c r="A1832" s="108"/>
    </row>
    <row r="1833" spans="1:1" x14ac:dyDescent="0.3">
      <c r="A1833" s="108"/>
    </row>
    <row r="1834" spans="1:1" x14ac:dyDescent="0.3">
      <c r="A1834" s="108"/>
    </row>
    <row r="1835" spans="1:1" x14ac:dyDescent="0.3">
      <c r="A1835" s="108"/>
    </row>
    <row r="1836" spans="1:1" x14ac:dyDescent="0.3">
      <c r="A1836" s="108"/>
    </row>
    <row r="1837" spans="1:1" x14ac:dyDescent="0.3">
      <c r="A1837" s="108"/>
    </row>
    <row r="1838" spans="1:1" x14ac:dyDescent="0.3">
      <c r="A1838" s="108"/>
    </row>
    <row r="1839" spans="1:1" x14ac:dyDescent="0.3">
      <c r="A1839" s="108"/>
    </row>
    <row r="1840" spans="1:1" x14ac:dyDescent="0.3">
      <c r="A1840" s="108"/>
    </row>
    <row r="1841" spans="1:1" x14ac:dyDescent="0.3">
      <c r="A1841" s="108"/>
    </row>
    <row r="1842" spans="1:1" x14ac:dyDescent="0.3">
      <c r="A1842" s="108"/>
    </row>
    <row r="1843" spans="1:1" x14ac:dyDescent="0.3">
      <c r="A1843" s="108"/>
    </row>
    <row r="1844" spans="1:1" x14ac:dyDescent="0.3">
      <c r="A1844" s="108"/>
    </row>
    <row r="1845" spans="1:1" x14ac:dyDescent="0.3">
      <c r="A1845" s="108"/>
    </row>
    <row r="1846" spans="1:1" x14ac:dyDescent="0.3">
      <c r="A1846" s="108"/>
    </row>
    <row r="1847" spans="1:1" x14ac:dyDescent="0.3">
      <c r="A1847" s="108"/>
    </row>
    <row r="1848" spans="1:1" x14ac:dyDescent="0.3">
      <c r="A1848" s="108"/>
    </row>
    <row r="1849" spans="1:1" x14ac:dyDescent="0.3">
      <c r="A1849" s="108"/>
    </row>
    <row r="1850" spans="1:1" x14ac:dyDescent="0.3">
      <c r="A1850" s="108"/>
    </row>
    <row r="1851" spans="1:1" x14ac:dyDescent="0.3">
      <c r="A1851" s="108"/>
    </row>
    <row r="1852" spans="1:1" x14ac:dyDescent="0.3">
      <c r="A1852" s="108"/>
    </row>
    <row r="1853" spans="1:1" x14ac:dyDescent="0.3">
      <c r="A1853" s="108"/>
    </row>
    <row r="1854" spans="1:1" x14ac:dyDescent="0.3">
      <c r="A1854" s="108"/>
    </row>
    <row r="1855" spans="1:1" x14ac:dyDescent="0.3">
      <c r="A1855" s="108"/>
    </row>
    <row r="1856" spans="1:1" x14ac:dyDescent="0.3">
      <c r="A1856" s="108"/>
    </row>
    <row r="1857" spans="1:1" x14ac:dyDescent="0.3">
      <c r="A1857" s="108"/>
    </row>
    <row r="1858" spans="1:1" x14ac:dyDescent="0.3">
      <c r="A1858" s="108"/>
    </row>
    <row r="1859" spans="1:1" x14ac:dyDescent="0.3">
      <c r="A1859" s="108"/>
    </row>
    <row r="1860" spans="1:1" x14ac:dyDescent="0.3">
      <c r="A1860" s="108"/>
    </row>
    <row r="1861" spans="1:1" x14ac:dyDescent="0.3">
      <c r="A1861" s="108"/>
    </row>
    <row r="1862" spans="1:1" x14ac:dyDescent="0.3">
      <c r="A1862" s="108"/>
    </row>
    <row r="1863" spans="1:1" x14ac:dyDescent="0.3">
      <c r="A1863" s="108"/>
    </row>
    <row r="1864" spans="1:1" x14ac:dyDescent="0.3">
      <c r="A1864" s="108"/>
    </row>
    <row r="1865" spans="1:1" x14ac:dyDescent="0.3">
      <c r="A1865" s="108"/>
    </row>
    <row r="1866" spans="1:1" x14ac:dyDescent="0.3">
      <c r="A1866" s="108"/>
    </row>
    <row r="1867" spans="1:1" x14ac:dyDescent="0.3">
      <c r="A1867" s="108"/>
    </row>
    <row r="1868" spans="1:1" x14ac:dyDescent="0.3">
      <c r="A1868" s="108"/>
    </row>
    <row r="1869" spans="1:1" x14ac:dyDescent="0.3">
      <c r="A1869" s="108"/>
    </row>
    <row r="1870" spans="1:1" x14ac:dyDescent="0.3">
      <c r="A1870" s="108"/>
    </row>
    <row r="1871" spans="1:1" x14ac:dyDescent="0.3">
      <c r="A1871" s="108"/>
    </row>
    <row r="1872" spans="1:1" x14ac:dyDescent="0.3">
      <c r="A1872" s="108"/>
    </row>
    <row r="1873" spans="1:1" x14ac:dyDescent="0.3">
      <c r="A1873" s="108"/>
    </row>
    <row r="1874" spans="1:1" x14ac:dyDescent="0.3">
      <c r="A1874" s="108"/>
    </row>
    <row r="1875" spans="1:1" x14ac:dyDescent="0.3">
      <c r="A1875" s="108"/>
    </row>
    <row r="1876" spans="1:1" x14ac:dyDescent="0.3">
      <c r="A1876" s="108"/>
    </row>
    <row r="1877" spans="1:1" x14ac:dyDescent="0.3">
      <c r="A1877" s="108"/>
    </row>
    <row r="1878" spans="1:1" x14ac:dyDescent="0.3">
      <c r="A1878" s="108"/>
    </row>
    <row r="1879" spans="1:1" x14ac:dyDescent="0.3">
      <c r="A1879" s="108"/>
    </row>
    <row r="1880" spans="1:1" x14ac:dyDescent="0.3">
      <c r="A1880" s="108"/>
    </row>
    <row r="1881" spans="1:1" x14ac:dyDescent="0.3">
      <c r="A1881" s="108"/>
    </row>
    <row r="1882" spans="1:1" x14ac:dyDescent="0.3">
      <c r="A1882" s="108"/>
    </row>
    <row r="1883" spans="1:1" x14ac:dyDescent="0.3">
      <c r="A1883" s="108"/>
    </row>
    <row r="1884" spans="1:1" x14ac:dyDescent="0.3">
      <c r="A1884" s="108"/>
    </row>
    <row r="1885" spans="1:1" x14ac:dyDescent="0.3">
      <c r="A1885" s="108"/>
    </row>
    <row r="1886" spans="1:1" x14ac:dyDescent="0.3">
      <c r="A1886" s="108"/>
    </row>
    <row r="1887" spans="1:1" x14ac:dyDescent="0.3">
      <c r="A1887" s="108"/>
    </row>
    <row r="1888" spans="1:1" x14ac:dyDescent="0.3">
      <c r="A1888" s="108"/>
    </row>
    <row r="1889" spans="1:1" x14ac:dyDescent="0.3">
      <c r="A1889" s="108"/>
    </row>
    <row r="1890" spans="1:1" x14ac:dyDescent="0.3">
      <c r="A1890" s="108"/>
    </row>
    <row r="1891" spans="1:1" x14ac:dyDescent="0.3">
      <c r="A1891" s="108"/>
    </row>
    <row r="1892" spans="1:1" x14ac:dyDescent="0.3">
      <c r="A1892" s="108"/>
    </row>
    <row r="1893" spans="1:1" x14ac:dyDescent="0.3">
      <c r="A1893" s="108"/>
    </row>
    <row r="1894" spans="1:1" x14ac:dyDescent="0.3">
      <c r="A1894" s="108"/>
    </row>
    <row r="1895" spans="1:1" x14ac:dyDescent="0.3">
      <c r="A1895" s="108"/>
    </row>
    <row r="1896" spans="1:1" x14ac:dyDescent="0.3">
      <c r="A1896" s="108"/>
    </row>
    <row r="1897" spans="1:1" x14ac:dyDescent="0.3">
      <c r="A1897" s="108"/>
    </row>
    <row r="1898" spans="1:1" x14ac:dyDescent="0.3">
      <c r="A1898" s="108"/>
    </row>
    <row r="1899" spans="1:1" x14ac:dyDescent="0.3">
      <c r="A1899" s="108"/>
    </row>
    <row r="1900" spans="1:1" x14ac:dyDescent="0.3">
      <c r="A1900" s="108"/>
    </row>
    <row r="1901" spans="1:1" x14ac:dyDescent="0.3">
      <c r="A1901" s="108"/>
    </row>
    <row r="1902" spans="1:1" x14ac:dyDescent="0.3">
      <c r="A1902" s="108"/>
    </row>
    <row r="1903" spans="1:1" x14ac:dyDescent="0.3">
      <c r="A1903" s="108"/>
    </row>
    <row r="1904" spans="1:1" x14ac:dyDescent="0.3">
      <c r="A1904" s="108"/>
    </row>
    <row r="1905" spans="1:1" x14ac:dyDescent="0.3">
      <c r="A1905" s="108"/>
    </row>
    <row r="1906" spans="1:1" x14ac:dyDescent="0.3">
      <c r="A1906" s="108"/>
    </row>
    <row r="1907" spans="1:1" x14ac:dyDescent="0.3">
      <c r="A1907" s="108"/>
    </row>
    <row r="1908" spans="1:1" x14ac:dyDescent="0.3">
      <c r="A1908" s="108"/>
    </row>
    <row r="1909" spans="1:1" x14ac:dyDescent="0.3">
      <c r="A1909" s="108"/>
    </row>
    <row r="1910" spans="1:1" x14ac:dyDescent="0.3">
      <c r="A1910" s="108"/>
    </row>
    <row r="1911" spans="1:1" x14ac:dyDescent="0.3">
      <c r="A1911" s="108"/>
    </row>
    <row r="1912" spans="1:1" x14ac:dyDescent="0.3">
      <c r="A1912" s="108"/>
    </row>
    <row r="1913" spans="1:1" x14ac:dyDescent="0.3">
      <c r="A1913" s="108"/>
    </row>
    <row r="1914" spans="1:1" x14ac:dyDescent="0.3">
      <c r="A1914" s="108"/>
    </row>
    <row r="1915" spans="1:1" x14ac:dyDescent="0.3">
      <c r="A1915" s="108"/>
    </row>
    <row r="1916" spans="1:1" x14ac:dyDescent="0.3">
      <c r="A1916" s="108"/>
    </row>
    <row r="1917" spans="1:1" x14ac:dyDescent="0.3">
      <c r="A1917" s="108"/>
    </row>
    <row r="1918" spans="1:1" x14ac:dyDescent="0.3">
      <c r="A1918" s="108"/>
    </row>
    <row r="1919" spans="1:1" x14ac:dyDescent="0.3">
      <c r="A1919" s="108"/>
    </row>
    <row r="1920" spans="1:1" x14ac:dyDescent="0.3">
      <c r="A1920" s="108"/>
    </row>
    <row r="1921" spans="1:1" x14ac:dyDescent="0.3">
      <c r="A1921" s="108"/>
    </row>
    <row r="1922" spans="1:1" x14ac:dyDescent="0.3">
      <c r="A1922" s="108"/>
    </row>
    <row r="1923" spans="1:1" x14ac:dyDescent="0.3">
      <c r="A1923" s="108"/>
    </row>
    <row r="1924" spans="1:1" x14ac:dyDescent="0.3">
      <c r="A1924" s="108"/>
    </row>
    <row r="1925" spans="1:1" x14ac:dyDescent="0.3">
      <c r="A1925" s="108"/>
    </row>
    <row r="1926" spans="1:1" x14ac:dyDescent="0.3">
      <c r="A1926" s="108"/>
    </row>
    <row r="1927" spans="1:1" x14ac:dyDescent="0.3">
      <c r="A1927" s="108"/>
    </row>
    <row r="1928" spans="1:1" x14ac:dyDescent="0.3">
      <c r="A1928" s="108"/>
    </row>
    <row r="1929" spans="1:1" x14ac:dyDescent="0.3">
      <c r="A1929" s="108"/>
    </row>
    <row r="1930" spans="1:1" x14ac:dyDescent="0.3">
      <c r="A1930" s="108"/>
    </row>
    <row r="1931" spans="1:1" x14ac:dyDescent="0.3">
      <c r="A1931" s="108"/>
    </row>
    <row r="1932" spans="1:1" x14ac:dyDescent="0.3">
      <c r="A1932" s="108"/>
    </row>
    <row r="1933" spans="1:1" x14ac:dyDescent="0.3">
      <c r="A1933" s="108"/>
    </row>
    <row r="1934" spans="1:1" x14ac:dyDescent="0.3">
      <c r="A1934" s="108"/>
    </row>
    <row r="1935" spans="1:1" x14ac:dyDescent="0.3">
      <c r="A1935" s="108"/>
    </row>
    <row r="1936" spans="1:1" x14ac:dyDescent="0.3">
      <c r="A1936" s="108"/>
    </row>
    <row r="1937" spans="1:1" x14ac:dyDescent="0.3">
      <c r="A1937" s="108"/>
    </row>
    <row r="1938" spans="1:1" x14ac:dyDescent="0.3">
      <c r="A1938" s="108"/>
    </row>
    <row r="1939" spans="1:1" x14ac:dyDescent="0.3">
      <c r="A1939" s="108"/>
    </row>
    <row r="1940" spans="1:1" x14ac:dyDescent="0.3">
      <c r="A1940" s="108"/>
    </row>
    <row r="1941" spans="1:1" x14ac:dyDescent="0.3">
      <c r="A1941" s="108"/>
    </row>
    <row r="1942" spans="1:1" x14ac:dyDescent="0.3">
      <c r="A1942" s="108"/>
    </row>
    <row r="1943" spans="1:1" x14ac:dyDescent="0.3">
      <c r="A1943" s="108"/>
    </row>
    <row r="1944" spans="1:1" x14ac:dyDescent="0.3">
      <c r="A1944" s="108"/>
    </row>
    <row r="1945" spans="1:1" x14ac:dyDescent="0.3">
      <c r="A1945" s="108"/>
    </row>
    <row r="1946" spans="1:1" x14ac:dyDescent="0.3">
      <c r="A1946" s="108"/>
    </row>
    <row r="1947" spans="1:1" x14ac:dyDescent="0.3">
      <c r="A1947" s="108"/>
    </row>
    <row r="1948" spans="1:1" x14ac:dyDescent="0.3">
      <c r="A1948" s="108"/>
    </row>
    <row r="1949" spans="1:1" x14ac:dyDescent="0.3">
      <c r="A1949" s="108"/>
    </row>
    <row r="1950" spans="1:1" x14ac:dyDescent="0.3">
      <c r="A1950" s="108"/>
    </row>
    <row r="1951" spans="1:1" x14ac:dyDescent="0.3">
      <c r="A1951" s="108"/>
    </row>
    <row r="1952" spans="1:1" x14ac:dyDescent="0.3">
      <c r="A1952" s="108"/>
    </row>
    <row r="1953" spans="1:1" x14ac:dyDescent="0.3">
      <c r="A1953" s="108"/>
    </row>
    <row r="1954" spans="1:1" x14ac:dyDescent="0.3">
      <c r="A1954" s="108"/>
    </row>
    <row r="1955" spans="1:1" x14ac:dyDescent="0.3">
      <c r="A1955" s="108"/>
    </row>
    <row r="1956" spans="1:1" x14ac:dyDescent="0.3">
      <c r="A1956" s="108"/>
    </row>
    <row r="1957" spans="1:1" x14ac:dyDescent="0.3">
      <c r="A1957" s="108"/>
    </row>
    <row r="1958" spans="1:1" x14ac:dyDescent="0.3">
      <c r="A1958" s="108"/>
    </row>
    <row r="1959" spans="1:1" x14ac:dyDescent="0.3">
      <c r="A1959" s="108"/>
    </row>
    <row r="1960" spans="1:1" x14ac:dyDescent="0.3">
      <c r="A1960" s="108"/>
    </row>
    <row r="1961" spans="1:1" x14ac:dyDescent="0.3">
      <c r="A1961" s="108"/>
    </row>
    <row r="1962" spans="1:1" x14ac:dyDescent="0.3">
      <c r="A1962" s="108"/>
    </row>
    <row r="1963" spans="1:1" x14ac:dyDescent="0.3">
      <c r="A1963" s="108"/>
    </row>
    <row r="1964" spans="1:1" x14ac:dyDescent="0.3">
      <c r="A1964" s="108"/>
    </row>
    <row r="1965" spans="1:1" x14ac:dyDescent="0.3">
      <c r="A1965" s="108"/>
    </row>
    <row r="1966" spans="1:1" x14ac:dyDescent="0.3">
      <c r="A1966" s="108"/>
    </row>
    <row r="1967" spans="1:1" x14ac:dyDescent="0.3">
      <c r="A1967" s="108"/>
    </row>
    <row r="1968" spans="1:1" x14ac:dyDescent="0.3">
      <c r="A1968" s="108"/>
    </row>
    <row r="1969" spans="1:1" x14ac:dyDescent="0.3">
      <c r="A1969" s="108"/>
    </row>
    <row r="1970" spans="1:1" x14ac:dyDescent="0.3">
      <c r="A1970" s="108"/>
    </row>
    <row r="1971" spans="1:1" x14ac:dyDescent="0.3">
      <c r="A1971" s="108"/>
    </row>
    <row r="1972" spans="1:1" x14ac:dyDescent="0.3">
      <c r="A1972" s="108"/>
    </row>
    <row r="1973" spans="1:1" x14ac:dyDescent="0.3">
      <c r="A1973" s="108"/>
    </row>
    <row r="1974" spans="1:1" x14ac:dyDescent="0.3">
      <c r="A1974" s="108"/>
    </row>
    <row r="1975" spans="1:1" x14ac:dyDescent="0.3">
      <c r="A1975" s="108"/>
    </row>
    <row r="1976" spans="1:1" x14ac:dyDescent="0.3">
      <c r="A1976" s="108"/>
    </row>
    <row r="1977" spans="1:1" x14ac:dyDescent="0.3">
      <c r="A1977" s="108"/>
    </row>
    <row r="1978" spans="1:1" x14ac:dyDescent="0.3">
      <c r="A1978" s="108"/>
    </row>
    <row r="1979" spans="1:1" x14ac:dyDescent="0.3">
      <c r="A1979" s="108"/>
    </row>
    <row r="1980" spans="1:1" x14ac:dyDescent="0.3">
      <c r="A1980" s="108"/>
    </row>
    <row r="1981" spans="1:1" x14ac:dyDescent="0.3">
      <c r="A1981" s="108"/>
    </row>
    <row r="1982" spans="1:1" x14ac:dyDescent="0.3">
      <c r="A1982" s="108"/>
    </row>
    <row r="1983" spans="1:1" x14ac:dyDescent="0.3">
      <c r="A1983" s="108"/>
    </row>
    <row r="1984" spans="1:1" x14ac:dyDescent="0.3">
      <c r="A1984" s="108"/>
    </row>
    <row r="1985" spans="1:1" x14ac:dyDescent="0.3">
      <c r="A1985" s="108"/>
    </row>
    <row r="1986" spans="1:1" x14ac:dyDescent="0.3">
      <c r="A1986" s="108"/>
    </row>
    <row r="1987" spans="1:1" x14ac:dyDescent="0.3">
      <c r="A1987" s="108"/>
    </row>
    <row r="1988" spans="1:1" x14ac:dyDescent="0.3">
      <c r="A1988" s="108"/>
    </row>
    <row r="1989" spans="1:1" x14ac:dyDescent="0.3">
      <c r="A1989" s="108"/>
    </row>
    <row r="1990" spans="1:1" x14ac:dyDescent="0.3">
      <c r="A1990" s="108"/>
    </row>
    <row r="1991" spans="1:1" x14ac:dyDescent="0.3">
      <c r="A1991" s="108"/>
    </row>
    <row r="1992" spans="1:1" x14ac:dyDescent="0.3">
      <c r="A1992" s="108"/>
    </row>
    <row r="1993" spans="1:1" x14ac:dyDescent="0.3">
      <c r="A1993" s="108"/>
    </row>
    <row r="1994" spans="1:1" x14ac:dyDescent="0.3">
      <c r="A1994" s="108"/>
    </row>
    <row r="1995" spans="1:1" x14ac:dyDescent="0.3">
      <c r="A1995" s="108"/>
    </row>
    <row r="1996" spans="1:1" x14ac:dyDescent="0.3">
      <c r="A1996" s="108"/>
    </row>
    <row r="1997" spans="1:1" x14ac:dyDescent="0.3">
      <c r="A1997" s="108"/>
    </row>
    <row r="1998" spans="1:1" x14ac:dyDescent="0.3">
      <c r="A1998" s="108"/>
    </row>
    <row r="1999" spans="1:1" x14ac:dyDescent="0.3">
      <c r="A1999" s="108"/>
    </row>
    <row r="2000" spans="1:1" x14ac:dyDescent="0.3">
      <c r="A2000" s="108"/>
    </row>
    <row r="2001" spans="1:1" x14ac:dyDescent="0.3">
      <c r="A2001" s="108"/>
    </row>
    <row r="2002" spans="1:1" x14ac:dyDescent="0.3">
      <c r="A2002" s="108"/>
    </row>
    <row r="2003" spans="1:1" x14ac:dyDescent="0.3">
      <c r="A2003" s="108"/>
    </row>
    <row r="2004" spans="1:1" x14ac:dyDescent="0.3">
      <c r="A2004" s="108"/>
    </row>
    <row r="2005" spans="1:1" x14ac:dyDescent="0.3">
      <c r="A2005" s="108"/>
    </row>
    <row r="2006" spans="1:1" x14ac:dyDescent="0.3">
      <c r="A2006" s="108"/>
    </row>
    <row r="2007" spans="1:1" x14ac:dyDescent="0.3">
      <c r="A2007" s="108"/>
    </row>
    <row r="2008" spans="1:1" x14ac:dyDescent="0.3">
      <c r="A2008" s="108"/>
    </row>
    <row r="2009" spans="1:1" x14ac:dyDescent="0.3">
      <c r="A2009" s="108"/>
    </row>
    <row r="2010" spans="1:1" x14ac:dyDescent="0.3">
      <c r="A2010" s="108"/>
    </row>
    <row r="2011" spans="1:1" x14ac:dyDescent="0.3">
      <c r="A2011" s="108"/>
    </row>
    <row r="2012" spans="1:1" x14ac:dyDescent="0.3">
      <c r="A2012" s="108"/>
    </row>
    <row r="2013" spans="1:1" x14ac:dyDescent="0.3">
      <c r="A2013" s="108"/>
    </row>
    <row r="2014" spans="1:1" x14ac:dyDescent="0.3">
      <c r="A2014" s="108"/>
    </row>
    <row r="2015" spans="1:1" x14ac:dyDescent="0.3">
      <c r="A2015" s="108"/>
    </row>
    <row r="2016" spans="1:1" x14ac:dyDescent="0.3">
      <c r="A2016" s="108"/>
    </row>
    <row r="2017" spans="1:1" x14ac:dyDescent="0.3">
      <c r="A2017" s="108"/>
    </row>
    <row r="2018" spans="1:1" x14ac:dyDescent="0.3">
      <c r="A2018" s="108"/>
    </row>
    <row r="2019" spans="1:1" x14ac:dyDescent="0.3">
      <c r="A2019" s="108"/>
    </row>
    <row r="2020" spans="1:1" x14ac:dyDescent="0.3">
      <c r="A2020" s="108"/>
    </row>
    <row r="2021" spans="1:1" x14ac:dyDescent="0.3">
      <c r="A2021" s="108"/>
    </row>
    <row r="2022" spans="1:1" x14ac:dyDescent="0.3">
      <c r="A2022" s="108"/>
    </row>
    <row r="2023" spans="1:1" x14ac:dyDescent="0.3">
      <c r="A2023" s="108"/>
    </row>
    <row r="2024" spans="1:1" x14ac:dyDescent="0.3">
      <c r="A2024" s="108"/>
    </row>
    <row r="2025" spans="1:1" x14ac:dyDescent="0.3">
      <c r="A2025" s="108"/>
    </row>
    <row r="2026" spans="1:1" x14ac:dyDescent="0.3">
      <c r="A2026" s="108"/>
    </row>
    <row r="2027" spans="1:1" x14ac:dyDescent="0.3">
      <c r="A2027" s="108"/>
    </row>
    <row r="2028" spans="1:1" x14ac:dyDescent="0.3">
      <c r="A2028" s="108"/>
    </row>
    <row r="2029" spans="1:1" x14ac:dyDescent="0.3">
      <c r="A2029" s="108"/>
    </row>
    <row r="2030" spans="1:1" x14ac:dyDescent="0.3">
      <c r="A2030" s="108"/>
    </row>
    <row r="2031" spans="1:1" x14ac:dyDescent="0.3">
      <c r="A2031" s="108"/>
    </row>
    <row r="2032" spans="1:1" x14ac:dyDescent="0.3">
      <c r="A2032" s="108"/>
    </row>
    <row r="2033" spans="1:1" x14ac:dyDescent="0.3">
      <c r="A2033" s="108"/>
    </row>
    <row r="2034" spans="1:1" x14ac:dyDescent="0.3">
      <c r="A2034" s="108"/>
    </row>
    <row r="2035" spans="1:1" x14ac:dyDescent="0.3">
      <c r="A2035" s="108"/>
    </row>
    <row r="2036" spans="1:1" x14ac:dyDescent="0.3">
      <c r="A2036" s="108"/>
    </row>
    <row r="2037" spans="1:1" x14ac:dyDescent="0.3">
      <c r="A2037" s="108"/>
    </row>
    <row r="2038" spans="1:1" x14ac:dyDescent="0.3">
      <c r="A2038" s="108"/>
    </row>
    <row r="2039" spans="1:1" x14ac:dyDescent="0.3">
      <c r="A2039" s="108"/>
    </row>
    <row r="2040" spans="1:1" x14ac:dyDescent="0.3">
      <c r="A2040" s="108"/>
    </row>
    <row r="2041" spans="1:1" x14ac:dyDescent="0.3">
      <c r="A2041" s="108"/>
    </row>
    <row r="2042" spans="1:1" x14ac:dyDescent="0.3">
      <c r="A2042" s="108"/>
    </row>
    <row r="2043" spans="1:1" x14ac:dyDescent="0.3">
      <c r="A2043" s="108"/>
    </row>
    <row r="2044" spans="1:1" x14ac:dyDescent="0.3">
      <c r="A2044" s="108"/>
    </row>
    <row r="2045" spans="1:1" x14ac:dyDescent="0.3">
      <c r="A2045" s="108"/>
    </row>
    <row r="2046" spans="1:1" x14ac:dyDescent="0.3">
      <c r="A2046" s="108"/>
    </row>
    <row r="2047" spans="1:1" x14ac:dyDescent="0.3">
      <c r="A2047" s="108"/>
    </row>
    <row r="2048" spans="1:1" x14ac:dyDescent="0.3">
      <c r="A2048" s="108"/>
    </row>
    <row r="2049" spans="1:1" x14ac:dyDescent="0.3">
      <c r="A2049" s="108"/>
    </row>
    <row r="2050" spans="1:1" x14ac:dyDescent="0.3">
      <c r="A2050" s="108"/>
    </row>
    <row r="2051" spans="1:1" x14ac:dyDescent="0.3">
      <c r="A2051" s="108"/>
    </row>
    <row r="2052" spans="1:1" x14ac:dyDescent="0.3">
      <c r="A2052" s="108"/>
    </row>
    <row r="2053" spans="1:1" x14ac:dyDescent="0.3">
      <c r="A2053" s="108"/>
    </row>
    <row r="2054" spans="1:1" x14ac:dyDescent="0.3">
      <c r="A2054" s="108"/>
    </row>
    <row r="2055" spans="1:1" x14ac:dyDescent="0.3">
      <c r="A2055" s="108"/>
    </row>
    <row r="2056" spans="1:1" x14ac:dyDescent="0.3">
      <c r="A2056" s="108"/>
    </row>
    <row r="2057" spans="1:1" x14ac:dyDescent="0.3">
      <c r="A2057" s="108"/>
    </row>
    <row r="2058" spans="1:1" x14ac:dyDescent="0.3">
      <c r="A2058" s="108"/>
    </row>
    <row r="2059" spans="1:1" x14ac:dyDescent="0.3">
      <c r="A2059" s="108"/>
    </row>
    <row r="2060" spans="1:1" x14ac:dyDescent="0.3">
      <c r="A2060" s="108"/>
    </row>
    <row r="2061" spans="1:1" x14ac:dyDescent="0.3">
      <c r="A2061" s="108"/>
    </row>
    <row r="2062" spans="1:1" x14ac:dyDescent="0.3">
      <c r="A2062" s="108"/>
    </row>
    <row r="2063" spans="1:1" x14ac:dyDescent="0.3">
      <c r="A2063" s="108"/>
    </row>
    <row r="2064" spans="1:1" x14ac:dyDescent="0.3">
      <c r="A2064" s="108"/>
    </row>
    <row r="2065" spans="1:1" x14ac:dyDescent="0.3">
      <c r="A2065" s="108"/>
    </row>
    <row r="2066" spans="1:1" x14ac:dyDescent="0.3">
      <c r="A2066" s="108"/>
    </row>
    <row r="2067" spans="1:1" x14ac:dyDescent="0.3">
      <c r="A2067" s="108"/>
    </row>
    <row r="2068" spans="1:1" x14ac:dyDescent="0.3">
      <c r="A2068" s="108"/>
    </row>
    <row r="2069" spans="1:1" x14ac:dyDescent="0.3">
      <c r="A2069" s="108"/>
    </row>
    <row r="2070" spans="1:1" x14ac:dyDescent="0.3">
      <c r="A2070" s="108"/>
    </row>
    <row r="2071" spans="1:1" x14ac:dyDescent="0.3">
      <c r="A2071" s="108"/>
    </row>
    <row r="2072" spans="1:1" x14ac:dyDescent="0.3">
      <c r="A2072" s="108"/>
    </row>
    <row r="2073" spans="1:1" x14ac:dyDescent="0.3">
      <c r="A2073" s="108"/>
    </row>
    <row r="2074" spans="1:1" x14ac:dyDescent="0.3">
      <c r="A2074" s="108"/>
    </row>
    <row r="2075" spans="1:1" x14ac:dyDescent="0.3">
      <c r="A2075" s="108"/>
    </row>
    <row r="2076" spans="1:1" x14ac:dyDescent="0.3">
      <c r="A2076" s="108"/>
    </row>
    <row r="2077" spans="1:1" x14ac:dyDescent="0.3">
      <c r="A2077" s="108"/>
    </row>
    <row r="2078" spans="1:1" x14ac:dyDescent="0.3">
      <c r="A2078" s="108"/>
    </row>
    <row r="2079" spans="1:1" x14ac:dyDescent="0.3">
      <c r="A2079" s="108"/>
    </row>
    <row r="2080" spans="1:1" x14ac:dyDescent="0.3">
      <c r="A2080" s="108"/>
    </row>
    <row r="2081" spans="1:1" x14ac:dyDescent="0.3">
      <c r="A2081" s="108"/>
    </row>
    <row r="2082" spans="1:1" x14ac:dyDescent="0.3">
      <c r="A2082" s="108"/>
    </row>
    <row r="2083" spans="1:1" x14ac:dyDescent="0.3">
      <c r="A2083" s="108"/>
    </row>
    <row r="2084" spans="1:1" x14ac:dyDescent="0.3">
      <c r="A2084" s="108"/>
    </row>
    <row r="2085" spans="1:1" x14ac:dyDescent="0.3">
      <c r="A2085" s="108"/>
    </row>
    <row r="2086" spans="1:1" x14ac:dyDescent="0.3">
      <c r="A2086" s="108"/>
    </row>
    <row r="2087" spans="1:1" x14ac:dyDescent="0.3">
      <c r="A2087" s="108"/>
    </row>
    <row r="2088" spans="1:1" x14ac:dyDescent="0.3">
      <c r="A2088" s="108"/>
    </row>
    <row r="2089" spans="1:1" x14ac:dyDescent="0.3">
      <c r="A2089" s="108"/>
    </row>
    <row r="2090" spans="1:1" x14ac:dyDescent="0.3">
      <c r="A2090" s="108"/>
    </row>
    <row r="2091" spans="1:1" x14ac:dyDescent="0.3">
      <c r="A2091" s="108"/>
    </row>
    <row r="2092" spans="1:1" x14ac:dyDescent="0.3">
      <c r="A2092" s="108"/>
    </row>
    <row r="2093" spans="1:1" x14ac:dyDescent="0.3">
      <c r="A2093" s="108"/>
    </row>
    <row r="2094" spans="1:1" x14ac:dyDescent="0.3">
      <c r="A2094" s="108"/>
    </row>
    <row r="2095" spans="1:1" x14ac:dyDescent="0.3">
      <c r="A2095" s="108"/>
    </row>
    <row r="2096" spans="1:1" x14ac:dyDescent="0.3">
      <c r="A2096" s="108"/>
    </row>
    <row r="2097" spans="1:1" x14ac:dyDescent="0.3">
      <c r="A2097" s="108"/>
    </row>
    <row r="2098" spans="1:1" x14ac:dyDescent="0.3">
      <c r="A2098" s="108"/>
    </row>
    <row r="2099" spans="1:1" x14ac:dyDescent="0.3">
      <c r="A2099" s="108"/>
    </row>
    <row r="2100" spans="1:1" x14ac:dyDescent="0.3">
      <c r="A2100" s="108"/>
    </row>
    <row r="2101" spans="1:1" x14ac:dyDescent="0.3">
      <c r="A2101" s="108"/>
    </row>
    <row r="2102" spans="1:1" x14ac:dyDescent="0.3">
      <c r="A2102" s="108"/>
    </row>
    <row r="2103" spans="1:1" x14ac:dyDescent="0.3">
      <c r="A2103" s="108"/>
    </row>
    <row r="2104" spans="1:1" x14ac:dyDescent="0.3">
      <c r="A2104" s="108"/>
    </row>
    <row r="2105" spans="1:1" x14ac:dyDescent="0.3">
      <c r="A2105" s="108"/>
    </row>
    <row r="2106" spans="1:1" x14ac:dyDescent="0.3">
      <c r="A2106" s="108"/>
    </row>
    <row r="2107" spans="1:1" x14ac:dyDescent="0.3">
      <c r="A2107" s="108"/>
    </row>
    <row r="2108" spans="1:1" x14ac:dyDescent="0.3">
      <c r="A2108" s="108"/>
    </row>
    <row r="2109" spans="1:1" x14ac:dyDescent="0.3">
      <c r="A2109" s="108"/>
    </row>
    <row r="2110" spans="1:1" x14ac:dyDescent="0.3">
      <c r="A2110" s="108"/>
    </row>
    <row r="2111" spans="1:1" x14ac:dyDescent="0.3">
      <c r="A2111" s="108"/>
    </row>
    <row r="2112" spans="1:1" x14ac:dyDescent="0.3">
      <c r="A2112" s="108"/>
    </row>
    <row r="2113" spans="1:1" x14ac:dyDescent="0.3">
      <c r="A2113" s="108"/>
    </row>
    <row r="2114" spans="1:1" x14ac:dyDescent="0.3">
      <c r="A2114" s="108"/>
    </row>
    <row r="2115" spans="1:1" x14ac:dyDescent="0.3">
      <c r="A2115" s="108"/>
    </row>
    <row r="2116" spans="1:1" x14ac:dyDescent="0.3">
      <c r="A2116" s="108"/>
    </row>
    <row r="2117" spans="1:1" x14ac:dyDescent="0.3">
      <c r="A2117" s="108"/>
    </row>
    <row r="2118" spans="1:1" x14ac:dyDescent="0.3">
      <c r="A2118" s="108"/>
    </row>
    <row r="2119" spans="1:1" x14ac:dyDescent="0.3">
      <c r="A2119" s="108"/>
    </row>
    <row r="2120" spans="1:1" x14ac:dyDescent="0.3">
      <c r="A2120" s="108"/>
    </row>
    <row r="2121" spans="1:1" x14ac:dyDescent="0.3">
      <c r="A2121" s="108"/>
    </row>
    <row r="2122" spans="1:1" x14ac:dyDescent="0.3">
      <c r="A2122" s="108"/>
    </row>
    <row r="2123" spans="1:1" x14ac:dyDescent="0.3">
      <c r="A2123" s="108"/>
    </row>
    <row r="2124" spans="1:1" x14ac:dyDescent="0.3">
      <c r="A2124" s="108"/>
    </row>
    <row r="2125" spans="1:1" x14ac:dyDescent="0.3">
      <c r="A2125" s="108"/>
    </row>
    <row r="2126" spans="1:1" x14ac:dyDescent="0.3">
      <c r="A2126" s="108"/>
    </row>
    <row r="2127" spans="1:1" x14ac:dyDescent="0.3">
      <c r="A2127" s="108"/>
    </row>
    <row r="2128" spans="1:1" x14ac:dyDescent="0.3">
      <c r="A2128" s="108"/>
    </row>
    <row r="2129" spans="1:1" x14ac:dyDescent="0.3">
      <c r="A2129" s="108"/>
    </row>
    <row r="2130" spans="1:1" x14ac:dyDescent="0.3">
      <c r="A2130" s="108"/>
    </row>
    <row r="2131" spans="1:1" x14ac:dyDescent="0.3">
      <c r="A2131" s="108"/>
    </row>
    <row r="2132" spans="1:1" x14ac:dyDescent="0.3">
      <c r="A2132" s="108"/>
    </row>
    <row r="2133" spans="1:1" x14ac:dyDescent="0.3">
      <c r="A2133" s="108"/>
    </row>
    <row r="2134" spans="1:1" x14ac:dyDescent="0.3">
      <c r="A2134" s="108"/>
    </row>
    <row r="2135" spans="1:1" x14ac:dyDescent="0.3">
      <c r="A2135" s="108"/>
    </row>
    <row r="2136" spans="1:1" x14ac:dyDescent="0.3">
      <c r="A2136" s="108"/>
    </row>
    <row r="2137" spans="1:1" x14ac:dyDescent="0.3">
      <c r="A2137" s="108"/>
    </row>
    <row r="2138" spans="1:1" x14ac:dyDescent="0.3">
      <c r="A2138" s="108"/>
    </row>
    <row r="2139" spans="1:1" x14ac:dyDescent="0.3">
      <c r="A2139" s="108"/>
    </row>
    <row r="2140" spans="1:1" x14ac:dyDescent="0.3">
      <c r="A2140" s="108"/>
    </row>
    <row r="2141" spans="1:1" x14ac:dyDescent="0.3">
      <c r="A2141" s="108"/>
    </row>
    <row r="2142" spans="1:1" x14ac:dyDescent="0.3">
      <c r="A2142" s="108"/>
    </row>
    <row r="2143" spans="1:1" x14ac:dyDescent="0.3">
      <c r="A2143" s="108"/>
    </row>
    <row r="2144" spans="1:1" x14ac:dyDescent="0.3">
      <c r="A2144" s="108"/>
    </row>
    <row r="2145" spans="1:1" x14ac:dyDescent="0.3">
      <c r="A2145" s="108"/>
    </row>
    <row r="2146" spans="1:1" x14ac:dyDescent="0.3">
      <c r="A2146" s="108"/>
    </row>
    <row r="2147" spans="1:1" x14ac:dyDescent="0.3">
      <c r="A2147" s="108"/>
    </row>
    <row r="2148" spans="1:1" x14ac:dyDescent="0.3">
      <c r="A2148" s="108"/>
    </row>
    <row r="2149" spans="1:1" x14ac:dyDescent="0.3">
      <c r="A2149" s="108"/>
    </row>
    <row r="2150" spans="1:1" x14ac:dyDescent="0.3">
      <c r="A2150" s="108"/>
    </row>
    <row r="2151" spans="1:1" x14ac:dyDescent="0.3">
      <c r="A2151" s="108"/>
    </row>
    <row r="2152" spans="1:1" x14ac:dyDescent="0.3">
      <c r="A2152" s="108"/>
    </row>
    <row r="2153" spans="1:1" x14ac:dyDescent="0.3">
      <c r="A2153" s="108"/>
    </row>
    <row r="2154" spans="1:1" x14ac:dyDescent="0.3">
      <c r="A2154" s="108"/>
    </row>
    <row r="2155" spans="1:1" x14ac:dyDescent="0.3">
      <c r="A2155" s="108"/>
    </row>
    <row r="2156" spans="1:1" x14ac:dyDescent="0.3">
      <c r="A2156" s="108"/>
    </row>
    <row r="2157" spans="1:1" x14ac:dyDescent="0.3">
      <c r="A2157" s="108"/>
    </row>
    <row r="2158" spans="1:1" x14ac:dyDescent="0.3">
      <c r="A2158" s="108"/>
    </row>
    <row r="2159" spans="1:1" x14ac:dyDescent="0.3">
      <c r="A2159" s="108"/>
    </row>
    <row r="2160" spans="1:1" x14ac:dyDescent="0.3">
      <c r="A2160" s="108"/>
    </row>
    <row r="2161" spans="1:1" x14ac:dyDescent="0.3">
      <c r="A2161" s="108"/>
    </row>
    <row r="2162" spans="1:1" x14ac:dyDescent="0.3">
      <c r="A2162" s="108"/>
    </row>
    <row r="2163" spans="1:1" x14ac:dyDescent="0.3">
      <c r="A2163" s="108"/>
    </row>
    <row r="2164" spans="1:1" x14ac:dyDescent="0.3">
      <c r="A2164" s="108"/>
    </row>
    <row r="2165" spans="1:1" x14ac:dyDescent="0.3">
      <c r="A2165" s="108"/>
    </row>
    <row r="2166" spans="1:1" x14ac:dyDescent="0.3">
      <c r="A2166" s="108"/>
    </row>
    <row r="2167" spans="1:1" x14ac:dyDescent="0.3">
      <c r="A2167" s="108"/>
    </row>
    <row r="2168" spans="1:1" x14ac:dyDescent="0.3">
      <c r="A2168" s="108"/>
    </row>
    <row r="2169" spans="1:1" x14ac:dyDescent="0.3">
      <c r="A2169" s="108"/>
    </row>
    <row r="2170" spans="1:1" x14ac:dyDescent="0.3">
      <c r="A2170" s="108"/>
    </row>
    <row r="2171" spans="1:1" x14ac:dyDescent="0.3">
      <c r="A2171" s="108"/>
    </row>
    <row r="2172" spans="1:1" x14ac:dyDescent="0.3">
      <c r="A2172" s="108"/>
    </row>
    <row r="2173" spans="1:1" x14ac:dyDescent="0.3">
      <c r="A2173" s="108"/>
    </row>
    <row r="2174" spans="1:1" x14ac:dyDescent="0.3">
      <c r="A2174" s="108"/>
    </row>
    <row r="2175" spans="1:1" x14ac:dyDescent="0.3">
      <c r="A2175" s="108"/>
    </row>
    <row r="2176" spans="1:1" x14ac:dyDescent="0.3">
      <c r="A2176" s="108"/>
    </row>
    <row r="2177" spans="1:1" x14ac:dyDescent="0.3">
      <c r="A2177" s="108"/>
    </row>
    <row r="2178" spans="1:1" x14ac:dyDescent="0.3">
      <c r="A2178" s="108"/>
    </row>
    <row r="2179" spans="1:1" x14ac:dyDescent="0.3">
      <c r="A2179" s="108"/>
    </row>
    <row r="2180" spans="1:1" x14ac:dyDescent="0.3">
      <c r="A2180" s="108"/>
    </row>
    <row r="2181" spans="1:1" x14ac:dyDescent="0.3">
      <c r="A2181" s="108"/>
    </row>
    <row r="2182" spans="1:1" x14ac:dyDescent="0.3">
      <c r="A2182" s="108"/>
    </row>
    <row r="2183" spans="1:1" x14ac:dyDescent="0.3">
      <c r="A2183" s="108"/>
    </row>
    <row r="2184" spans="1:1" x14ac:dyDescent="0.3">
      <c r="A2184" s="108"/>
    </row>
    <row r="2185" spans="1:1" x14ac:dyDescent="0.3">
      <c r="A2185" s="108"/>
    </row>
    <row r="2186" spans="1:1" x14ac:dyDescent="0.3">
      <c r="A2186" s="108"/>
    </row>
    <row r="2187" spans="1:1" x14ac:dyDescent="0.3">
      <c r="A2187" s="108"/>
    </row>
    <row r="2188" spans="1:1" x14ac:dyDescent="0.3">
      <c r="A2188" s="108"/>
    </row>
    <row r="2189" spans="1:1" x14ac:dyDescent="0.3">
      <c r="A2189" s="108"/>
    </row>
    <row r="2190" spans="1:1" x14ac:dyDescent="0.3">
      <c r="A2190" s="108"/>
    </row>
    <row r="2191" spans="1:1" x14ac:dyDescent="0.3">
      <c r="A2191" s="108"/>
    </row>
    <row r="2192" spans="1:1" x14ac:dyDescent="0.3">
      <c r="A2192" s="108"/>
    </row>
    <row r="2193" spans="1:1" x14ac:dyDescent="0.3">
      <c r="A2193" s="108"/>
    </row>
    <row r="2194" spans="1:1" x14ac:dyDescent="0.3">
      <c r="A2194" s="108"/>
    </row>
    <row r="2195" spans="1:1" x14ac:dyDescent="0.3">
      <c r="A2195" s="108"/>
    </row>
    <row r="2196" spans="1:1" x14ac:dyDescent="0.3">
      <c r="A2196" s="108"/>
    </row>
    <row r="2197" spans="1:1" x14ac:dyDescent="0.3">
      <c r="A2197" s="108"/>
    </row>
    <row r="2198" spans="1:1" x14ac:dyDescent="0.3">
      <c r="A2198" s="108"/>
    </row>
    <row r="2199" spans="1:1" x14ac:dyDescent="0.3">
      <c r="A2199" s="108"/>
    </row>
    <row r="2200" spans="1:1" x14ac:dyDescent="0.3">
      <c r="A2200" s="108"/>
    </row>
    <row r="2201" spans="1:1" x14ac:dyDescent="0.3">
      <c r="A2201" s="108"/>
    </row>
    <row r="2202" spans="1:1" x14ac:dyDescent="0.3">
      <c r="A2202" s="108"/>
    </row>
    <row r="2203" spans="1:1" x14ac:dyDescent="0.3">
      <c r="A2203" s="108"/>
    </row>
    <row r="2204" spans="1:1" x14ac:dyDescent="0.3">
      <c r="A2204" s="108"/>
    </row>
    <row r="2205" spans="1:1" x14ac:dyDescent="0.3">
      <c r="A2205" s="108"/>
    </row>
    <row r="2206" spans="1:1" x14ac:dyDescent="0.3">
      <c r="A2206" s="108"/>
    </row>
    <row r="2207" spans="1:1" x14ac:dyDescent="0.3">
      <c r="A2207" s="108"/>
    </row>
    <row r="2208" spans="1:1" x14ac:dyDescent="0.3">
      <c r="A2208" s="108"/>
    </row>
    <row r="2209" spans="1:1" x14ac:dyDescent="0.3">
      <c r="A2209" s="108"/>
    </row>
    <row r="2210" spans="1:1" x14ac:dyDescent="0.3">
      <c r="A2210" s="108"/>
    </row>
    <row r="2211" spans="1:1" x14ac:dyDescent="0.3">
      <c r="A2211" s="108"/>
    </row>
    <row r="2212" spans="1:1" x14ac:dyDescent="0.3">
      <c r="A2212" s="108"/>
    </row>
    <row r="2213" spans="1:1" x14ac:dyDescent="0.3">
      <c r="A2213" s="108"/>
    </row>
    <row r="2214" spans="1:1" x14ac:dyDescent="0.3">
      <c r="A2214" s="108"/>
    </row>
    <row r="2215" spans="1:1" x14ac:dyDescent="0.3">
      <c r="A2215" s="108"/>
    </row>
    <row r="2216" spans="1:1" x14ac:dyDescent="0.3">
      <c r="A2216" s="108"/>
    </row>
    <row r="2217" spans="1:1" x14ac:dyDescent="0.3">
      <c r="A2217" s="108"/>
    </row>
    <row r="2218" spans="1:1" x14ac:dyDescent="0.3">
      <c r="A2218" s="108"/>
    </row>
    <row r="2219" spans="1:1" x14ac:dyDescent="0.3">
      <c r="A2219" s="108"/>
    </row>
    <row r="2220" spans="1:1" x14ac:dyDescent="0.3">
      <c r="A2220" s="108"/>
    </row>
    <row r="2221" spans="1:1" x14ac:dyDescent="0.3">
      <c r="A2221" s="108"/>
    </row>
    <row r="2222" spans="1:1" x14ac:dyDescent="0.3">
      <c r="A2222" s="108"/>
    </row>
    <row r="2223" spans="1:1" x14ac:dyDescent="0.3">
      <c r="A2223" s="108"/>
    </row>
    <row r="2224" spans="1:1" x14ac:dyDescent="0.3">
      <c r="A2224" s="108"/>
    </row>
    <row r="2225" spans="1:1" x14ac:dyDescent="0.3">
      <c r="A2225" s="108"/>
    </row>
    <row r="2226" spans="1:1" x14ac:dyDescent="0.3">
      <c r="A2226" s="108"/>
    </row>
    <row r="2227" spans="1:1" x14ac:dyDescent="0.3">
      <c r="A2227" s="108"/>
    </row>
    <row r="2228" spans="1:1" x14ac:dyDescent="0.3">
      <c r="A2228" s="108"/>
    </row>
    <row r="2229" spans="1:1" x14ac:dyDescent="0.3">
      <c r="A2229" s="108"/>
    </row>
    <row r="2230" spans="1:1" x14ac:dyDescent="0.3">
      <c r="A2230" s="108"/>
    </row>
    <row r="2231" spans="1:1" x14ac:dyDescent="0.3">
      <c r="A2231" s="108"/>
    </row>
    <row r="2232" spans="1:1" x14ac:dyDescent="0.3">
      <c r="A2232" s="108"/>
    </row>
    <row r="2233" spans="1:1" x14ac:dyDescent="0.3">
      <c r="A2233" s="108"/>
    </row>
    <row r="2234" spans="1:1" x14ac:dyDescent="0.3">
      <c r="A2234" s="108"/>
    </row>
    <row r="2235" spans="1:1" x14ac:dyDescent="0.3">
      <c r="A2235" s="108"/>
    </row>
    <row r="2236" spans="1:1" x14ac:dyDescent="0.3">
      <c r="A2236" s="108"/>
    </row>
    <row r="2237" spans="1:1" x14ac:dyDescent="0.3">
      <c r="A2237" s="108"/>
    </row>
    <row r="2238" spans="1:1" x14ac:dyDescent="0.3">
      <c r="A2238" s="108"/>
    </row>
    <row r="2239" spans="1:1" x14ac:dyDescent="0.3">
      <c r="A2239" s="108"/>
    </row>
    <row r="2240" spans="1:1" x14ac:dyDescent="0.3">
      <c r="A2240" s="108"/>
    </row>
    <row r="2241" spans="1:1" x14ac:dyDescent="0.3">
      <c r="A2241" s="108"/>
    </row>
    <row r="2242" spans="1:1" x14ac:dyDescent="0.3">
      <c r="A2242" s="108"/>
    </row>
    <row r="2243" spans="1:1" x14ac:dyDescent="0.3">
      <c r="A2243" s="108"/>
    </row>
    <row r="2244" spans="1:1" x14ac:dyDescent="0.3">
      <c r="A2244" s="108"/>
    </row>
    <row r="2245" spans="1:1" x14ac:dyDescent="0.3">
      <c r="A2245" s="108"/>
    </row>
    <row r="2246" spans="1:1" x14ac:dyDescent="0.3">
      <c r="A2246" s="108"/>
    </row>
    <row r="2247" spans="1:1" x14ac:dyDescent="0.3">
      <c r="A2247" s="108"/>
    </row>
    <row r="2248" spans="1:1" x14ac:dyDescent="0.3">
      <c r="A2248" s="108"/>
    </row>
    <row r="2249" spans="1:1" x14ac:dyDescent="0.3">
      <c r="A2249" s="108"/>
    </row>
    <row r="2250" spans="1:1" x14ac:dyDescent="0.3">
      <c r="A2250" s="108"/>
    </row>
    <row r="2251" spans="1:1" x14ac:dyDescent="0.3">
      <c r="A2251" s="108"/>
    </row>
    <row r="2252" spans="1:1" x14ac:dyDescent="0.3">
      <c r="A2252" s="108"/>
    </row>
    <row r="2253" spans="1:1" x14ac:dyDescent="0.3">
      <c r="A2253" s="108"/>
    </row>
    <row r="2254" spans="1:1" x14ac:dyDescent="0.3">
      <c r="A2254" s="108"/>
    </row>
    <row r="2255" spans="1:1" x14ac:dyDescent="0.3">
      <c r="A2255" s="108"/>
    </row>
    <row r="2256" spans="1:1" x14ac:dyDescent="0.3">
      <c r="A2256" s="108"/>
    </row>
    <row r="2257" spans="1:1" x14ac:dyDescent="0.3">
      <c r="A2257" s="108"/>
    </row>
    <row r="2258" spans="1:1" x14ac:dyDescent="0.3">
      <c r="A2258" s="108"/>
    </row>
    <row r="2259" spans="1:1" x14ac:dyDescent="0.3">
      <c r="A2259" s="108"/>
    </row>
    <row r="2260" spans="1:1" x14ac:dyDescent="0.3">
      <c r="A2260" s="108"/>
    </row>
    <row r="2261" spans="1:1" x14ac:dyDescent="0.3">
      <c r="A2261" s="108"/>
    </row>
    <row r="2262" spans="1:1" x14ac:dyDescent="0.3">
      <c r="A2262" s="108"/>
    </row>
    <row r="2263" spans="1:1" x14ac:dyDescent="0.3">
      <c r="A2263" s="108"/>
    </row>
    <row r="2264" spans="1:1" x14ac:dyDescent="0.3">
      <c r="A2264" s="108"/>
    </row>
    <row r="2265" spans="1:1" x14ac:dyDescent="0.3">
      <c r="A2265" s="108"/>
    </row>
    <row r="2266" spans="1:1" x14ac:dyDescent="0.3">
      <c r="A2266" s="108"/>
    </row>
    <row r="2267" spans="1:1" x14ac:dyDescent="0.3">
      <c r="A2267" s="108"/>
    </row>
    <row r="2268" spans="1:1" x14ac:dyDescent="0.3">
      <c r="A2268" s="108"/>
    </row>
    <row r="2269" spans="1:1" x14ac:dyDescent="0.3">
      <c r="A2269" s="108"/>
    </row>
    <row r="2270" spans="1:1" x14ac:dyDescent="0.3">
      <c r="A2270" s="108"/>
    </row>
    <row r="2271" spans="1:1" x14ac:dyDescent="0.3">
      <c r="A2271" s="108"/>
    </row>
    <row r="2272" spans="1:1" x14ac:dyDescent="0.3">
      <c r="A2272" s="108"/>
    </row>
    <row r="2273" spans="1:1" x14ac:dyDescent="0.3">
      <c r="A2273" s="108"/>
    </row>
    <row r="2274" spans="1:1" x14ac:dyDescent="0.3">
      <c r="A2274" s="108"/>
    </row>
    <row r="2275" spans="1:1" x14ac:dyDescent="0.3">
      <c r="A2275" s="108"/>
    </row>
    <row r="2276" spans="1:1" x14ac:dyDescent="0.3">
      <c r="A2276" s="108"/>
    </row>
    <row r="2277" spans="1:1" x14ac:dyDescent="0.3">
      <c r="A2277" s="108"/>
    </row>
    <row r="2278" spans="1:1" x14ac:dyDescent="0.3">
      <c r="A2278" s="108"/>
    </row>
    <row r="2279" spans="1:1" x14ac:dyDescent="0.3">
      <c r="A2279" s="108"/>
    </row>
    <row r="2280" spans="1:1" x14ac:dyDescent="0.3">
      <c r="A2280" s="108"/>
    </row>
    <row r="2281" spans="1:1" x14ac:dyDescent="0.3">
      <c r="A2281" s="108"/>
    </row>
    <row r="2282" spans="1:1" x14ac:dyDescent="0.3">
      <c r="A2282" s="108"/>
    </row>
    <row r="2283" spans="1:1" x14ac:dyDescent="0.3">
      <c r="A2283" s="108"/>
    </row>
    <row r="2284" spans="1:1" x14ac:dyDescent="0.3">
      <c r="A2284" s="108"/>
    </row>
    <row r="2285" spans="1:1" x14ac:dyDescent="0.3">
      <c r="A2285" s="108"/>
    </row>
    <row r="2286" spans="1:1" x14ac:dyDescent="0.3">
      <c r="A2286" s="108"/>
    </row>
    <row r="2287" spans="1:1" x14ac:dyDescent="0.3">
      <c r="A2287" s="108"/>
    </row>
    <row r="2288" spans="1:1" x14ac:dyDescent="0.3">
      <c r="A2288" s="108"/>
    </row>
    <row r="2289" spans="1:1" x14ac:dyDescent="0.3">
      <c r="A2289" s="108"/>
    </row>
    <row r="2290" spans="1:1" x14ac:dyDescent="0.3">
      <c r="A2290" s="108"/>
    </row>
    <row r="2291" spans="1:1" x14ac:dyDescent="0.3">
      <c r="A2291" s="108"/>
    </row>
    <row r="2292" spans="1:1" x14ac:dyDescent="0.3">
      <c r="A2292" s="108"/>
    </row>
    <row r="2293" spans="1:1" x14ac:dyDescent="0.3">
      <c r="A2293" s="108"/>
    </row>
    <row r="2294" spans="1:1" x14ac:dyDescent="0.3">
      <c r="A2294" s="108"/>
    </row>
    <row r="2295" spans="1:1" x14ac:dyDescent="0.3">
      <c r="A2295" s="108"/>
    </row>
    <row r="2296" spans="1:1" x14ac:dyDescent="0.3">
      <c r="A2296" s="108"/>
    </row>
    <row r="2297" spans="1:1" x14ac:dyDescent="0.3">
      <c r="A2297" s="108"/>
    </row>
    <row r="2298" spans="1:1" x14ac:dyDescent="0.3">
      <c r="A2298" s="108"/>
    </row>
    <row r="2299" spans="1:1" x14ac:dyDescent="0.3">
      <c r="A2299" s="108"/>
    </row>
    <row r="2300" spans="1:1" x14ac:dyDescent="0.3">
      <c r="A2300" s="108"/>
    </row>
    <row r="2301" spans="1:1" x14ac:dyDescent="0.3">
      <c r="A2301" s="108"/>
    </row>
    <row r="2302" spans="1:1" x14ac:dyDescent="0.3">
      <c r="A2302" s="108"/>
    </row>
    <row r="2303" spans="1:1" x14ac:dyDescent="0.3">
      <c r="A2303" s="108"/>
    </row>
    <row r="2304" spans="1:1" x14ac:dyDescent="0.3">
      <c r="A2304" s="108"/>
    </row>
    <row r="2305" spans="1:1" x14ac:dyDescent="0.3">
      <c r="A2305" s="108"/>
    </row>
    <row r="2306" spans="1:1" x14ac:dyDescent="0.3">
      <c r="A2306" s="108"/>
    </row>
    <row r="2307" spans="1:1" x14ac:dyDescent="0.3">
      <c r="A2307" s="108"/>
    </row>
    <row r="2308" spans="1:1" x14ac:dyDescent="0.3">
      <c r="A2308" s="108"/>
    </row>
    <row r="2309" spans="1:1" x14ac:dyDescent="0.3">
      <c r="A2309" s="108"/>
    </row>
    <row r="2310" spans="1:1" x14ac:dyDescent="0.3">
      <c r="A2310" s="108"/>
    </row>
    <row r="2311" spans="1:1" x14ac:dyDescent="0.3">
      <c r="A2311" s="108"/>
    </row>
    <row r="2312" spans="1:1" x14ac:dyDescent="0.3">
      <c r="A2312" s="108"/>
    </row>
    <row r="2313" spans="1:1" x14ac:dyDescent="0.3">
      <c r="A2313" s="108"/>
    </row>
    <row r="2314" spans="1:1" x14ac:dyDescent="0.3">
      <c r="A2314" s="108"/>
    </row>
    <row r="2315" spans="1:1" x14ac:dyDescent="0.3">
      <c r="A2315" s="108"/>
    </row>
    <row r="2316" spans="1:1" x14ac:dyDescent="0.3">
      <c r="A2316" s="108"/>
    </row>
    <row r="2317" spans="1:1" x14ac:dyDescent="0.3">
      <c r="A2317" s="108"/>
    </row>
    <row r="2318" spans="1:1" x14ac:dyDescent="0.3">
      <c r="A2318" s="108"/>
    </row>
    <row r="2319" spans="1:1" x14ac:dyDescent="0.3">
      <c r="A2319" s="108"/>
    </row>
    <row r="2320" spans="1:1" x14ac:dyDescent="0.3">
      <c r="A2320" s="108"/>
    </row>
    <row r="2321" spans="1:1" x14ac:dyDescent="0.3">
      <c r="A2321" s="108"/>
    </row>
    <row r="2322" spans="1:1" x14ac:dyDescent="0.3">
      <c r="A2322" s="108"/>
    </row>
    <row r="2323" spans="1:1" x14ac:dyDescent="0.3">
      <c r="A2323" s="108"/>
    </row>
    <row r="2324" spans="1:1" x14ac:dyDescent="0.3">
      <c r="A2324" s="108"/>
    </row>
    <row r="2325" spans="1:1" x14ac:dyDescent="0.3">
      <c r="A2325" s="108"/>
    </row>
    <row r="2326" spans="1:1" x14ac:dyDescent="0.3">
      <c r="A2326" s="108"/>
    </row>
    <row r="2327" spans="1:1" x14ac:dyDescent="0.3">
      <c r="A2327" s="108"/>
    </row>
    <row r="2328" spans="1:1" x14ac:dyDescent="0.3">
      <c r="A2328" s="108"/>
    </row>
    <row r="2329" spans="1:1" x14ac:dyDescent="0.3">
      <c r="A2329" s="108"/>
    </row>
    <row r="2330" spans="1:1" x14ac:dyDescent="0.3">
      <c r="A2330" s="108"/>
    </row>
    <row r="2331" spans="1:1" x14ac:dyDescent="0.3">
      <c r="A2331" s="108"/>
    </row>
    <row r="2332" spans="1:1" x14ac:dyDescent="0.3">
      <c r="A2332" s="108"/>
    </row>
    <row r="2333" spans="1:1" x14ac:dyDescent="0.3">
      <c r="A2333" s="108"/>
    </row>
    <row r="2334" spans="1:1" x14ac:dyDescent="0.3">
      <c r="A2334" s="108"/>
    </row>
    <row r="2335" spans="1:1" x14ac:dyDescent="0.3">
      <c r="A2335" s="108"/>
    </row>
    <row r="2336" spans="1:1" x14ac:dyDescent="0.3">
      <c r="A2336" s="108"/>
    </row>
    <row r="2337" spans="1:1" x14ac:dyDescent="0.3">
      <c r="A2337" s="108"/>
    </row>
    <row r="2338" spans="1:1" x14ac:dyDescent="0.3">
      <c r="A2338" s="108"/>
    </row>
    <row r="2339" spans="1:1" x14ac:dyDescent="0.3">
      <c r="A2339" s="108"/>
    </row>
    <row r="2340" spans="1:1" x14ac:dyDescent="0.3">
      <c r="A2340" s="108"/>
    </row>
    <row r="2341" spans="1:1" x14ac:dyDescent="0.3">
      <c r="A2341" s="108"/>
    </row>
    <row r="2342" spans="1:1" x14ac:dyDescent="0.3">
      <c r="A2342" s="108"/>
    </row>
    <row r="2343" spans="1:1" x14ac:dyDescent="0.3">
      <c r="A2343" s="108"/>
    </row>
    <row r="2344" spans="1:1" x14ac:dyDescent="0.3">
      <c r="A2344" s="108"/>
    </row>
    <row r="2345" spans="1:1" x14ac:dyDescent="0.3">
      <c r="A2345" s="108"/>
    </row>
    <row r="2346" spans="1:1" x14ac:dyDescent="0.3">
      <c r="A2346" s="108"/>
    </row>
    <row r="2347" spans="1:1" x14ac:dyDescent="0.3">
      <c r="A234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/>
  </sheetViews>
  <sheetFormatPr baseColWidth="10" defaultRowHeight="14.4" x14ac:dyDescent="0.3"/>
  <cols>
    <col min="3" max="3" width="38.109375" style="106" bestFit="1" customWidth="1"/>
    <col min="5" max="6" width="16.44140625" style="92" bestFit="1" customWidth="1"/>
    <col min="7" max="7" width="16.6640625" style="98" bestFit="1" customWidth="1"/>
    <col min="8" max="9" width="16.6640625" style="98" customWidth="1"/>
    <col min="10" max="11" width="15.33203125" style="92" bestFit="1" customWidth="1"/>
  </cols>
  <sheetData>
    <row r="1" spans="1:11" s="98" customFormat="1" x14ac:dyDescent="0.3">
      <c r="A1" s="93" t="s">
        <v>80</v>
      </c>
      <c r="B1" s="93" t="s">
        <v>81</v>
      </c>
      <c r="C1" s="93" t="s">
        <v>87</v>
      </c>
      <c r="D1" s="93" t="s">
        <v>83</v>
      </c>
      <c r="E1" s="94" t="s">
        <v>84</v>
      </c>
      <c r="F1" s="94" t="s">
        <v>88</v>
      </c>
      <c r="G1" s="93" t="s">
        <v>89</v>
      </c>
      <c r="H1" s="93" t="s">
        <v>90</v>
      </c>
      <c r="I1" s="93" t="s">
        <v>91</v>
      </c>
      <c r="J1" s="94" t="s">
        <v>92</v>
      </c>
      <c r="K1" s="94" t="s">
        <v>93</v>
      </c>
    </row>
    <row r="2" spans="1:11" x14ac:dyDescent="0.3">
      <c r="A2" s="50"/>
      <c r="C2"/>
      <c r="E2"/>
      <c r="F2"/>
      <c r="G2"/>
      <c r="H2"/>
      <c r="I2"/>
      <c r="J2"/>
      <c r="K2"/>
    </row>
    <row r="3" spans="1:11" x14ac:dyDescent="0.3">
      <c r="A3" s="50"/>
      <c r="C3"/>
      <c r="E3"/>
      <c r="F3"/>
      <c r="G3"/>
      <c r="H3"/>
      <c r="I3"/>
      <c r="J3"/>
      <c r="K3"/>
    </row>
    <row r="4" spans="1:11" x14ac:dyDescent="0.3">
      <c r="A4" s="50"/>
      <c r="C4"/>
      <c r="E4"/>
      <c r="F4"/>
      <c r="G4"/>
      <c r="H4"/>
      <c r="I4"/>
      <c r="J4"/>
      <c r="K4"/>
    </row>
    <row r="5" spans="1:11" x14ac:dyDescent="0.3">
      <c r="A5" s="50"/>
      <c r="C5"/>
      <c r="E5"/>
      <c r="F5"/>
      <c r="G5"/>
      <c r="H5"/>
      <c r="I5"/>
      <c r="J5"/>
      <c r="K5"/>
    </row>
    <row r="6" spans="1:11" x14ac:dyDescent="0.3">
      <c r="A6" s="50"/>
      <c r="C6"/>
      <c r="E6"/>
      <c r="F6"/>
      <c r="G6"/>
      <c r="H6"/>
      <c r="I6"/>
      <c r="J6"/>
      <c r="K6"/>
    </row>
    <row r="7" spans="1:11" x14ac:dyDescent="0.3">
      <c r="A7" s="50"/>
      <c r="C7"/>
      <c r="E7"/>
      <c r="F7"/>
      <c r="G7"/>
      <c r="H7"/>
      <c r="I7"/>
      <c r="J7"/>
      <c r="K7"/>
    </row>
    <row r="8" spans="1:11" x14ac:dyDescent="0.3">
      <c r="A8" s="50"/>
      <c r="C8"/>
      <c r="E8"/>
      <c r="F8"/>
      <c r="G8"/>
      <c r="H8"/>
      <c r="I8"/>
      <c r="J8"/>
      <c r="K8"/>
    </row>
    <row r="9" spans="1:11" x14ac:dyDescent="0.3">
      <c r="A9" s="50"/>
      <c r="C9"/>
      <c r="E9"/>
      <c r="F9"/>
      <c r="G9"/>
      <c r="H9"/>
      <c r="I9"/>
      <c r="J9"/>
      <c r="K9"/>
    </row>
    <row r="10" spans="1:11" x14ac:dyDescent="0.3">
      <c r="A10" s="50"/>
    </row>
    <row r="11" spans="1:11" x14ac:dyDescent="0.3">
      <c r="A11" s="50"/>
    </row>
    <row r="12" spans="1:11" x14ac:dyDescent="0.3">
      <c r="A12" s="50"/>
    </row>
    <row r="13" spans="1:11" x14ac:dyDescent="0.3">
      <c r="A13" s="50"/>
    </row>
    <row r="14" spans="1:11" x14ac:dyDescent="0.3">
      <c r="A14" s="50"/>
    </row>
    <row r="15" spans="1:11" x14ac:dyDescent="0.3">
      <c r="A15" s="50"/>
    </row>
    <row r="16" spans="1:11" x14ac:dyDescent="0.3">
      <c r="A16" s="50"/>
    </row>
    <row r="17" spans="1:9" x14ac:dyDescent="0.3">
      <c r="A17" s="50"/>
    </row>
    <row r="18" spans="1:9" x14ac:dyDescent="0.3">
      <c r="A18" s="50"/>
    </row>
    <row r="19" spans="1:9" x14ac:dyDescent="0.3">
      <c r="A19" s="108"/>
    </row>
    <row r="20" spans="1:9" x14ac:dyDescent="0.3">
      <c r="G20" s="92"/>
      <c r="H20" s="92"/>
      <c r="I20" s="9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2"/>
  <sheetViews>
    <sheetView workbookViewId="0"/>
  </sheetViews>
  <sheetFormatPr baseColWidth="10" defaultRowHeight="14.4" x14ac:dyDescent="0.3"/>
  <cols>
    <col min="2" max="2" width="45.21875" style="106" bestFit="1" customWidth="1"/>
    <col min="5" max="5" width="15.109375" style="106" customWidth="1"/>
    <col min="7" max="7" width="15.44140625" style="92" bestFit="1" customWidth="1"/>
    <col min="8" max="8" width="15.33203125" style="92" bestFit="1" customWidth="1"/>
    <col min="9" max="9" width="15.6640625" style="92" bestFit="1" customWidth="1"/>
    <col min="10" max="10" width="15.44140625" style="92" bestFit="1" customWidth="1"/>
    <col min="11" max="11" width="15.6640625" style="92" bestFit="1" customWidth="1"/>
    <col min="12" max="12" width="15.44140625" style="92" bestFit="1" customWidth="1"/>
    <col min="13" max="14" width="15.5546875" style="92" bestFit="1" customWidth="1"/>
  </cols>
  <sheetData>
    <row r="1" spans="1:14" x14ac:dyDescent="0.3">
      <c r="A1" s="93" t="s">
        <v>94</v>
      </c>
      <c r="B1" s="93" t="s">
        <v>82</v>
      </c>
      <c r="C1" s="93" t="s">
        <v>95</v>
      </c>
      <c r="D1" s="93" t="s">
        <v>96</v>
      </c>
      <c r="E1" s="93" t="s">
        <v>97</v>
      </c>
      <c r="F1" s="93" t="s">
        <v>98</v>
      </c>
      <c r="G1" s="93" t="s">
        <v>99</v>
      </c>
      <c r="H1" s="93" t="s">
        <v>100</v>
      </c>
      <c r="I1" s="93" t="s">
        <v>101</v>
      </c>
      <c r="J1" s="93" t="s">
        <v>102</v>
      </c>
      <c r="K1" s="93" t="s">
        <v>103</v>
      </c>
      <c r="L1" s="93" t="s">
        <v>104</v>
      </c>
      <c r="M1" s="93" t="s">
        <v>105</v>
      </c>
      <c r="N1" s="93" t="s">
        <v>106</v>
      </c>
    </row>
    <row r="2" spans="1:14" x14ac:dyDescent="0.3">
      <c r="B2"/>
      <c r="E2"/>
      <c r="G2"/>
      <c r="H2"/>
      <c r="I2"/>
      <c r="J2"/>
      <c r="K2"/>
      <c r="L2"/>
      <c r="M2"/>
      <c r="N2"/>
    </row>
    <row r="3" spans="1:14" x14ac:dyDescent="0.3">
      <c r="B3"/>
      <c r="E3"/>
      <c r="G3"/>
      <c r="H3"/>
      <c r="I3"/>
      <c r="J3"/>
      <c r="K3"/>
      <c r="L3"/>
      <c r="M3"/>
      <c r="N3"/>
    </row>
    <row r="4" spans="1:14" x14ac:dyDescent="0.3">
      <c r="B4"/>
      <c r="E4"/>
      <c r="G4"/>
      <c r="H4"/>
      <c r="I4"/>
      <c r="J4"/>
      <c r="K4"/>
      <c r="L4"/>
      <c r="M4"/>
      <c r="N4"/>
    </row>
    <row r="5" spans="1:14" x14ac:dyDescent="0.3">
      <c r="B5"/>
      <c r="E5"/>
      <c r="G5"/>
      <c r="H5"/>
      <c r="I5"/>
      <c r="J5"/>
      <c r="K5"/>
      <c r="L5"/>
      <c r="M5"/>
      <c r="N5"/>
    </row>
    <row r="6" spans="1:14" x14ac:dyDescent="0.3">
      <c r="B6"/>
      <c r="E6"/>
      <c r="G6"/>
      <c r="H6"/>
      <c r="I6"/>
      <c r="J6"/>
      <c r="K6"/>
      <c r="L6"/>
      <c r="M6"/>
      <c r="N6"/>
    </row>
    <row r="7" spans="1:14" x14ac:dyDescent="0.3">
      <c r="B7"/>
      <c r="E7"/>
      <c r="G7"/>
      <c r="H7"/>
      <c r="I7"/>
      <c r="J7"/>
      <c r="K7"/>
      <c r="L7"/>
      <c r="M7"/>
      <c r="N7"/>
    </row>
    <row r="8" spans="1:14" x14ac:dyDescent="0.3">
      <c r="B8"/>
      <c r="E8"/>
      <c r="G8"/>
      <c r="H8"/>
      <c r="I8"/>
      <c r="J8"/>
      <c r="K8"/>
      <c r="L8"/>
      <c r="M8"/>
      <c r="N8"/>
    </row>
    <row r="9" spans="1:14" x14ac:dyDescent="0.3">
      <c r="B9"/>
      <c r="E9"/>
      <c r="G9"/>
      <c r="H9"/>
      <c r="I9"/>
      <c r="J9"/>
      <c r="K9"/>
      <c r="L9"/>
      <c r="M9"/>
      <c r="N9"/>
    </row>
    <row r="10" spans="1:14" x14ac:dyDescent="0.3">
      <c r="B10"/>
      <c r="E10"/>
      <c r="G10"/>
      <c r="H10"/>
      <c r="I10"/>
      <c r="J10"/>
      <c r="K10"/>
      <c r="L10"/>
      <c r="M10"/>
      <c r="N10"/>
    </row>
    <row r="11" spans="1:14" x14ac:dyDescent="0.3">
      <c r="B11"/>
      <c r="E11"/>
      <c r="G11"/>
      <c r="H11"/>
      <c r="I11"/>
      <c r="J11"/>
      <c r="K11"/>
      <c r="L11"/>
      <c r="M11"/>
      <c r="N11"/>
    </row>
    <row r="12" spans="1:14" x14ac:dyDescent="0.3">
      <c r="B12"/>
      <c r="E12"/>
      <c r="G12"/>
      <c r="H12"/>
      <c r="I12"/>
      <c r="J12"/>
      <c r="K12"/>
      <c r="L12"/>
      <c r="M12"/>
      <c r="N12"/>
    </row>
    <row r="13" spans="1:14" x14ac:dyDescent="0.3">
      <c r="B13"/>
      <c r="E13"/>
      <c r="G13"/>
      <c r="H13"/>
      <c r="I13"/>
      <c r="J13"/>
      <c r="K13"/>
      <c r="L13"/>
      <c r="M13"/>
      <c r="N13"/>
    </row>
    <row r="14" spans="1:14" x14ac:dyDescent="0.3">
      <c r="B14"/>
      <c r="E14"/>
      <c r="G14"/>
      <c r="H14"/>
      <c r="I14"/>
      <c r="J14"/>
      <c r="K14"/>
      <c r="L14"/>
      <c r="M14"/>
      <c r="N14"/>
    </row>
    <row r="15" spans="1:14" x14ac:dyDescent="0.3">
      <c r="B15"/>
      <c r="E15"/>
      <c r="G15"/>
      <c r="H15"/>
      <c r="I15"/>
      <c r="J15"/>
      <c r="K15"/>
      <c r="L15"/>
      <c r="M15"/>
      <c r="N15"/>
    </row>
    <row r="16" spans="1:14" x14ac:dyDescent="0.3">
      <c r="B16"/>
      <c r="E16"/>
      <c r="G16"/>
      <c r="H16"/>
      <c r="I16"/>
      <c r="J16"/>
      <c r="K16"/>
      <c r="L16"/>
      <c r="M16"/>
      <c r="N16"/>
    </row>
    <row r="17" spans="2:14" x14ac:dyDescent="0.3">
      <c r="B17"/>
      <c r="E17"/>
      <c r="G17"/>
      <c r="H17"/>
      <c r="I17"/>
      <c r="J17"/>
      <c r="K17"/>
      <c r="L17"/>
      <c r="M17"/>
      <c r="N17"/>
    </row>
    <row r="18" spans="2:14" x14ac:dyDescent="0.3">
      <c r="B18"/>
      <c r="E18"/>
      <c r="G18"/>
      <c r="H18"/>
      <c r="I18"/>
      <c r="J18"/>
      <c r="K18"/>
      <c r="L18"/>
      <c r="M18"/>
      <c r="N18"/>
    </row>
    <row r="19" spans="2:14" x14ac:dyDescent="0.3">
      <c r="B19"/>
      <c r="E19"/>
      <c r="G19"/>
      <c r="H19"/>
      <c r="I19"/>
      <c r="J19"/>
      <c r="K19"/>
      <c r="L19"/>
      <c r="M19"/>
      <c r="N19"/>
    </row>
    <row r="20" spans="2:14" x14ac:dyDescent="0.3">
      <c r="B20"/>
      <c r="E20"/>
      <c r="G20"/>
      <c r="H20"/>
      <c r="I20"/>
      <c r="J20"/>
      <c r="K20"/>
      <c r="L20"/>
      <c r="M20"/>
      <c r="N20"/>
    </row>
    <row r="21" spans="2:14" x14ac:dyDescent="0.3">
      <c r="B21"/>
      <c r="E21"/>
      <c r="G21"/>
      <c r="H21"/>
      <c r="I21"/>
      <c r="J21"/>
      <c r="K21"/>
      <c r="L21"/>
      <c r="M21"/>
      <c r="N21"/>
    </row>
    <row r="22" spans="2:14" x14ac:dyDescent="0.3">
      <c r="B22"/>
      <c r="E22"/>
      <c r="G22"/>
      <c r="H22"/>
      <c r="I22"/>
      <c r="J22"/>
      <c r="K22"/>
      <c r="L22"/>
      <c r="M22"/>
      <c r="N22"/>
    </row>
    <row r="23" spans="2:14" x14ac:dyDescent="0.3">
      <c r="B23"/>
      <c r="E23"/>
      <c r="G23"/>
      <c r="H23"/>
      <c r="I23"/>
      <c r="J23"/>
      <c r="K23"/>
      <c r="L23"/>
      <c r="M23"/>
      <c r="N23"/>
    </row>
    <row r="24" spans="2:14" x14ac:dyDescent="0.3">
      <c r="B24"/>
      <c r="E24"/>
      <c r="G24"/>
      <c r="H24"/>
      <c r="I24"/>
      <c r="J24"/>
      <c r="K24"/>
      <c r="L24"/>
      <c r="M24"/>
      <c r="N24"/>
    </row>
    <row r="25" spans="2:14" x14ac:dyDescent="0.3">
      <c r="B25"/>
      <c r="E25"/>
      <c r="G25"/>
      <c r="H25"/>
      <c r="I25"/>
      <c r="J25"/>
      <c r="K25"/>
      <c r="L25"/>
      <c r="M25"/>
      <c r="N25"/>
    </row>
    <row r="26" spans="2:14" x14ac:dyDescent="0.3">
      <c r="B26"/>
      <c r="E26"/>
      <c r="G26"/>
      <c r="H26"/>
      <c r="I26"/>
      <c r="J26"/>
      <c r="K26"/>
      <c r="L26"/>
      <c r="M26"/>
      <c r="N26"/>
    </row>
    <row r="27" spans="2:14" x14ac:dyDescent="0.3">
      <c r="B27"/>
      <c r="E27"/>
      <c r="G27"/>
      <c r="H27"/>
      <c r="I27"/>
      <c r="J27"/>
      <c r="K27"/>
      <c r="L27"/>
      <c r="M27"/>
      <c r="N27"/>
    </row>
    <row r="28" spans="2:14" x14ac:dyDescent="0.3">
      <c r="B28"/>
      <c r="E28"/>
      <c r="G28"/>
      <c r="H28"/>
      <c r="I28"/>
      <c r="J28"/>
      <c r="K28"/>
      <c r="L28"/>
      <c r="M28"/>
      <c r="N28"/>
    </row>
    <row r="29" spans="2:14" x14ac:dyDescent="0.3">
      <c r="B29"/>
      <c r="E29"/>
      <c r="G29"/>
      <c r="H29"/>
      <c r="I29"/>
      <c r="J29"/>
      <c r="K29"/>
      <c r="L29"/>
      <c r="M29"/>
      <c r="N29"/>
    </row>
    <row r="30" spans="2:14" x14ac:dyDescent="0.3">
      <c r="B30"/>
      <c r="E30"/>
      <c r="G30"/>
      <c r="H30"/>
      <c r="I30"/>
      <c r="J30"/>
      <c r="K30"/>
      <c r="L30"/>
      <c r="M30"/>
      <c r="N30"/>
    </row>
    <row r="31" spans="2:14" x14ac:dyDescent="0.3">
      <c r="B31"/>
      <c r="E31"/>
      <c r="G31"/>
      <c r="H31"/>
      <c r="I31"/>
      <c r="J31"/>
      <c r="K31"/>
      <c r="L31"/>
      <c r="M31"/>
      <c r="N31"/>
    </row>
    <row r="32" spans="2:14" x14ac:dyDescent="0.3">
      <c r="B32"/>
      <c r="E32"/>
      <c r="G32"/>
      <c r="H32"/>
      <c r="I32"/>
      <c r="J32"/>
      <c r="K32"/>
      <c r="L32"/>
      <c r="M32"/>
      <c r="N32"/>
    </row>
    <row r="33" spans="2:14" x14ac:dyDescent="0.3">
      <c r="B33"/>
      <c r="E33"/>
      <c r="G33"/>
      <c r="H33"/>
      <c r="I33"/>
      <c r="J33"/>
      <c r="K33"/>
      <c r="L33"/>
      <c r="M33"/>
      <c r="N33"/>
    </row>
    <row r="34" spans="2:14" x14ac:dyDescent="0.3">
      <c r="B34"/>
      <c r="E34"/>
      <c r="G34"/>
      <c r="H34"/>
      <c r="I34"/>
      <c r="J34"/>
      <c r="K34"/>
      <c r="L34"/>
      <c r="M34"/>
      <c r="N34"/>
    </row>
    <row r="35" spans="2:14" x14ac:dyDescent="0.3">
      <c r="B35"/>
      <c r="E35"/>
      <c r="G35"/>
      <c r="H35"/>
      <c r="I35"/>
      <c r="J35"/>
      <c r="K35"/>
      <c r="L35"/>
      <c r="M35"/>
      <c r="N35"/>
    </row>
    <row r="36" spans="2:14" x14ac:dyDescent="0.3">
      <c r="B36"/>
      <c r="E36"/>
      <c r="G36"/>
      <c r="H36"/>
      <c r="I36"/>
      <c r="J36"/>
      <c r="K36"/>
      <c r="L36"/>
      <c r="M36"/>
      <c r="N36"/>
    </row>
    <row r="37" spans="2:14" x14ac:dyDescent="0.3">
      <c r="B37"/>
      <c r="E37"/>
      <c r="G37"/>
      <c r="H37"/>
      <c r="I37"/>
      <c r="J37"/>
      <c r="K37"/>
      <c r="L37"/>
      <c r="M37"/>
      <c r="N37"/>
    </row>
    <row r="38" spans="2:14" x14ac:dyDescent="0.3">
      <c r="B38"/>
      <c r="E38"/>
      <c r="G38"/>
      <c r="H38"/>
      <c r="I38"/>
      <c r="J38"/>
      <c r="K38"/>
      <c r="L38"/>
      <c r="M38"/>
      <c r="N38"/>
    </row>
    <row r="39" spans="2:14" x14ac:dyDescent="0.3">
      <c r="B39"/>
      <c r="E39"/>
      <c r="G39"/>
      <c r="H39"/>
      <c r="I39"/>
      <c r="J39"/>
      <c r="K39"/>
      <c r="L39"/>
      <c r="M39"/>
      <c r="N39"/>
    </row>
    <row r="40" spans="2:14" x14ac:dyDescent="0.3">
      <c r="B40"/>
      <c r="E40"/>
      <c r="G40"/>
      <c r="H40"/>
      <c r="I40"/>
      <c r="J40"/>
      <c r="K40"/>
      <c r="L40"/>
      <c r="M40"/>
      <c r="N40"/>
    </row>
    <row r="41" spans="2:14" x14ac:dyDescent="0.3">
      <c r="B41"/>
      <c r="E41"/>
      <c r="G41"/>
      <c r="H41"/>
      <c r="I41"/>
      <c r="J41"/>
      <c r="K41"/>
      <c r="L41"/>
      <c r="M41"/>
      <c r="N41"/>
    </row>
    <row r="42" spans="2:14" x14ac:dyDescent="0.3">
      <c r="B42"/>
      <c r="E42"/>
      <c r="G42"/>
      <c r="H42"/>
      <c r="I42"/>
      <c r="J42"/>
      <c r="K42"/>
      <c r="L42"/>
      <c r="M42"/>
      <c r="N42"/>
    </row>
    <row r="43" spans="2:14" x14ac:dyDescent="0.3">
      <c r="B43"/>
      <c r="E43"/>
      <c r="G43"/>
      <c r="H43"/>
      <c r="I43"/>
      <c r="J43"/>
      <c r="K43"/>
      <c r="L43"/>
      <c r="M43"/>
      <c r="N43"/>
    </row>
    <row r="44" spans="2:14" x14ac:dyDescent="0.3">
      <c r="B44"/>
      <c r="E44"/>
      <c r="G44"/>
      <c r="H44"/>
      <c r="I44"/>
      <c r="J44"/>
      <c r="K44"/>
      <c r="L44"/>
      <c r="M44"/>
      <c r="N44"/>
    </row>
    <row r="45" spans="2:14" x14ac:dyDescent="0.3">
      <c r="B45"/>
      <c r="E45"/>
      <c r="G45"/>
      <c r="H45"/>
      <c r="I45"/>
      <c r="J45"/>
      <c r="K45"/>
      <c r="L45"/>
      <c r="M45"/>
      <c r="N45"/>
    </row>
    <row r="46" spans="2:14" x14ac:dyDescent="0.3">
      <c r="B46"/>
      <c r="E46"/>
      <c r="G46"/>
      <c r="H46"/>
      <c r="I46"/>
      <c r="J46"/>
      <c r="K46"/>
      <c r="L46"/>
      <c r="M46"/>
      <c r="N46"/>
    </row>
    <row r="47" spans="2:14" x14ac:dyDescent="0.3">
      <c r="B47"/>
      <c r="E47"/>
      <c r="G47"/>
      <c r="H47"/>
      <c r="I47"/>
      <c r="J47"/>
      <c r="K47"/>
      <c r="L47"/>
      <c r="M47"/>
      <c r="N47"/>
    </row>
    <row r="48" spans="2:14" x14ac:dyDescent="0.3">
      <c r="B48"/>
      <c r="E48"/>
      <c r="G48"/>
      <c r="H48"/>
      <c r="I48"/>
      <c r="J48"/>
      <c r="K48"/>
      <c r="L48"/>
      <c r="M48"/>
      <c r="N48"/>
    </row>
    <row r="49" spans="2:14" x14ac:dyDescent="0.3">
      <c r="B49"/>
      <c r="E49"/>
      <c r="G49"/>
      <c r="H49"/>
      <c r="I49"/>
      <c r="J49"/>
      <c r="K49"/>
      <c r="L49"/>
      <c r="M49"/>
      <c r="N49"/>
    </row>
    <row r="50" spans="2:14" x14ac:dyDescent="0.3">
      <c r="B50"/>
      <c r="E50"/>
      <c r="G50"/>
      <c r="H50"/>
      <c r="I50"/>
      <c r="J50"/>
      <c r="K50"/>
      <c r="L50"/>
      <c r="M50"/>
      <c r="N50"/>
    </row>
    <row r="51" spans="2:14" x14ac:dyDescent="0.3">
      <c r="B51"/>
      <c r="E51"/>
      <c r="G51"/>
      <c r="H51"/>
      <c r="I51"/>
      <c r="J51"/>
      <c r="K51"/>
      <c r="L51"/>
      <c r="M51"/>
      <c r="N51"/>
    </row>
    <row r="52" spans="2:14" x14ac:dyDescent="0.3">
      <c r="B52"/>
      <c r="E52"/>
      <c r="G52"/>
      <c r="H52"/>
      <c r="I52"/>
      <c r="J52"/>
      <c r="K52"/>
      <c r="L52"/>
      <c r="M52"/>
      <c r="N52"/>
    </row>
    <row r="53" spans="2:14" x14ac:dyDescent="0.3">
      <c r="B53"/>
      <c r="E53"/>
      <c r="G53"/>
      <c r="H53"/>
      <c r="I53"/>
      <c r="J53"/>
      <c r="K53"/>
      <c r="L53"/>
      <c r="M53"/>
      <c r="N53"/>
    </row>
    <row r="54" spans="2:14" x14ac:dyDescent="0.3">
      <c r="B54"/>
      <c r="E54"/>
      <c r="G54"/>
      <c r="H54"/>
      <c r="I54"/>
      <c r="J54"/>
      <c r="K54"/>
      <c r="L54"/>
      <c r="M54"/>
      <c r="N54"/>
    </row>
    <row r="55" spans="2:14" x14ac:dyDescent="0.3">
      <c r="B55"/>
      <c r="E55"/>
      <c r="G55"/>
      <c r="H55"/>
      <c r="I55"/>
      <c r="J55"/>
      <c r="K55"/>
      <c r="L55"/>
      <c r="M55"/>
      <c r="N55"/>
    </row>
    <row r="56" spans="2:14" x14ac:dyDescent="0.3">
      <c r="B56"/>
      <c r="E56"/>
      <c r="G56"/>
      <c r="H56"/>
      <c r="I56"/>
      <c r="J56"/>
      <c r="K56"/>
      <c r="L56"/>
      <c r="M56"/>
      <c r="N56"/>
    </row>
    <row r="57" spans="2:14" x14ac:dyDescent="0.3">
      <c r="B57"/>
      <c r="E57"/>
      <c r="G57"/>
      <c r="H57"/>
      <c r="I57"/>
      <c r="J57"/>
      <c r="K57"/>
      <c r="L57"/>
      <c r="M57"/>
      <c r="N57"/>
    </row>
    <row r="58" spans="2:14" x14ac:dyDescent="0.3">
      <c r="B58"/>
      <c r="E58"/>
      <c r="G58"/>
      <c r="H58"/>
      <c r="I58"/>
      <c r="J58"/>
      <c r="K58"/>
      <c r="L58"/>
      <c r="M58"/>
      <c r="N58"/>
    </row>
    <row r="59" spans="2:14" x14ac:dyDescent="0.3">
      <c r="B59"/>
      <c r="E59"/>
      <c r="G59"/>
      <c r="H59"/>
      <c r="I59"/>
      <c r="J59"/>
      <c r="K59"/>
      <c r="L59"/>
      <c r="M59"/>
      <c r="N59"/>
    </row>
    <row r="60" spans="2:14" x14ac:dyDescent="0.3">
      <c r="B60"/>
      <c r="E60"/>
      <c r="G60"/>
      <c r="H60"/>
      <c r="I60"/>
      <c r="J60"/>
      <c r="K60"/>
      <c r="L60"/>
      <c r="M60"/>
      <c r="N60"/>
    </row>
    <row r="61" spans="2:14" x14ac:dyDescent="0.3">
      <c r="B61"/>
      <c r="E61"/>
      <c r="G61"/>
      <c r="H61"/>
      <c r="I61"/>
      <c r="J61"/>
      <c r="K61"/>
      <c r="L61"/>
      <c r="M61"/>
      <c r="N61"/>
    </row>
    <row r="62" spans="2:14" x14ac:dyDescent="0.3">
      <c r="B62"/>
      <c r="E62"/>
      <c r="G62"/>
      <c r="H62"/>
      <c r="I62"/>
      <c r="J62"/>
      <c r="K62"/>
      <c r="L62"/>
      <c r="M62"/>
      <c r="N62"/>
    </row>
    <row r="63" spans="2:14" x14ac:dyDescent="0.3">
      <c r="B63"/>
      <c r="E63"/>
      <c r="G63"/>
      <c r="H63"/>
      <c r="I63"/>
      <c r="J63"/>
      <c r="K63"/>
      <c r="L63"/>
      <c r="M63"/>
      <c r="N63"/>
    </row>
    <row r="64" spans="2:14" x14ac:dyDescent="0.3">
      <c r="B64"/>
      <c r="E64"/>
      <c r="G64"/>
      <c r="H64"/>
      <c r="I64"/>
      <c r="J64"/>
      <c r="K64"/>
      <c r="L64"/>
      <c r="M64"/>
      <c r="N64"/>
    </row>
    <row r="65" spans="2:14" x14ac:dyDescent="0.3">
      <c r="B65"/>
      <c r="E65"/>
      <c r="G65"/>
      <c r="H65"/>
      <c r="I65"/>
      <c r="J65"/>
      <c r="K65"/>
      <c r="L65"/>
      <c r="M65"/>
      <c r="N65"/>
    </row>
    <row r="66" spans="2:14" x14ac:dyDescent="0.3">
      <c r="B66"/>
      <c r="E66"/>
      <c r="G66"/>
      <c r="H66"/>
      <c r="I66"/>
      <c r="J66"/>
      <c r="K66"/>
      <c r="L66"/>
      <c r="M66"/>
      <c r="N66"/>
    </row>
    <row r="67" spans="2:14" x14ac:dyDescent="0.3">
      <c r="B67"/>
      <c r="E67"/>
      <c r="G67"/>
      <c r="H67"/>
      <c r="I67"/>
      <c r="J67"/>
      <c r="K67"/>
      <c r="L67"/>
      <c r="M67"/>
      <c r="N67"/>
    </row>
    <row r="68" spans="2:14" x14ac:dyDescent="0.3">
      <c r="B68"/>
      <c r="E68"/>
      <c r="G68"/>
      <c r="H68"/>
      <c r="I68"/>
      <c r="J68"/>
      <c r="K68"/>
      <c r="L68"/>
      <c r="M68"/>
      <c r="N68"/>
    </row>
    <row r="69" spans="2:14" x14ac:dyDescent="0.3">
      <c r="B69"/>
      <c r="E69"/>
      <c r="G69"/>
      <c r="H69"/>
      <c r="I69"/>
      <c r="J69"/>
      <c r="K69"/>
      <c r="L69"/>
      <c r="M69"/>
      <c r="N69"/>
    </row>
    <row r="70" spans="2:14" x14ac:dyDescent="0.3">
      <c r="B70"/>
      <c r="E70"/>
      <c r="G70"/>
      <c r="H70"/>
      <c r="I70"/>
      <c r="J70"/>
      <c r="K70"/>
      <c r="L70"/>
      <c r="M70"/>
      <c r="N70"/>
    </row>
    <row r="71" spans="2:14" x14ac:dyDescent="0.3">
      <c r="B71"/>
      <c r="E71"/>
      <c r="G71"/>
      <c r="H71"/>
      <c r="I71"/>
      <c r="J71"/>
      <c r="K71"/>
      <c r="L71"/>
      <c r="M71"/>
      <c r="N71"/>
    </row>
    <row r="72" spans="2:14" x14ac:dyDescent="0.3">
      <c r="B72"/>
      <c r="E72"/>
      <c r="G72"/>
      <c r="H72"/>
      <c r="I72"/>
      <c r="J72"/>
      <c r="K72"/>
      <c r="L72"/>
      <c r="M72"/>
      <c r="N72"/>
    </row>
    <row r="73" spans="2:14" x14ac:dyDescent="0.3">
      <c r="B73"/>
      <c r="E73"/>
      <c r="G73"/>
      <c r="H73"/>
      <c r="I73"/>
      <c r="J73"/>
      <c r="K73"/>
      <c r="L73"/>
      <c r="M73"/>
      <c r="N73"/>
    </row>
    <row r="74" spans="2:14" x14ac:dyDescent="0.3">
      <c r="B74"/>
      <c r="E74"/>
      <c r="G74"/>
      <c r="H74"/>
      <c r="I74"/>
      <c r="J74"/>
      <c r="K74"/>
      <c r="L74"/>
      <c r="M74"/>
      <c r="N74"/>
    </row>
    <row r="75" spans="2:14" x14ac:dyDescent="0.3">
      <c r="B75"/>
      <c r="E75"/>
      <c r="G75"/>
      <c r="H75"/>
      <c r="I75"/>
      <c r="J75"/>
      <c r="K75"/>
      <c r="L75"/>
      <c r="M75"/>
      <c r="N75"/>
    </row>
    <row r="76" spans="2:14" x14ac:dyDescent="0.3">
      <c r="B76"/>
      <c r="E76"/>
      <c r="G76"/>
      <c r="H76"/>
      <c r="I76"/>
      <c r="J76"/>
      <c r="K76"/>
      <c r="L76"/>
      <c r="M76"/>
      <c r="N76"/>
    </row>
    <row r="77" spans="2:14" x14ac:dyDescent="0.3">
      <c r="B77"/>
      <c r="E77"/>
      <c r="G77"/>
      <c r="H77"/>
      <c r="I77"/>
      <c r="J77"/>
      <c r="K77"/>
      <c r="L77"/>
      <c r="M77"/>
      <c r="N77"/>
    </row>
    <row r="78" spans="2:14" x14ac:dyDescent="0.3">
      <c r="B78"/>
      <c r="E78"/>
      <c r="G78"/>
      <c r="H78"/>
      <c r="I78"/>
      <c r="J78"/>
      <c r="K78"/>
      <c r="L78"/>
      <c r="M78"/>
      <c r="N78"/>
    </row>
    <row r="79" spans="2:14" x14ac:dyDescent="0.3">
      <c r="B79"/>
      <c r="E79"/>
      <c r="G79"/>
      <c r="H79"/>
      <c r="I79"/>
      <c r="J79"/>
      <c r="K79"/>
      <c r="L79"/>
      <c r="M79"/>
      <c r="N79"/>
    </row>
    <row r="80" spans="2:14" x14ac:dyDescent="0.3">
      <c r="B80"/>
      <c r="E80"/>
      <c r="G80"/>
      <c r="H80"/>
      <c r="I80"/>
      <c r="J80"/>
      <c r="K80"/>
      <c r="L80"/>
      <c r="M80"/>
      <c r="N80"/>
    </row>
    <row r="81" spans="2:14" x14ac:dyDescent="0.3">
      <c r="B81"/>
      <c r="E81"/>
      <c r="G81"/>
      <c r="H81"/>
      <c r="I81"/>
      <c r="J81"/>
      <c r="K81"/>
      <c r="L81"/>
      <c r="M81"/>
      <c r="N81"/>
    </row>
    <row r="82" spans="2:14" x14ac:dyDescent="0.3">
      <c r="B82"/>
      <c r="E82"/>
      <c r="G82"/>
      <c r="H82"/>
      <c r="I82"/>
      <c r="J82"/>
      <c r="K82"/>
      <c r="L82"/>
      <c r="M82"/>
      <c r="N82"/>
    </row>
  </sheetData>
  <autoFilter ref="A1:N15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C1F6-7CAE-49D7-A067-6B3504A8683C}">
  <dimension ref="A1:O1"/>
  <sheetViews>
    <sheetView workbookViewId="0">
      <selection activeCell="B1" sqref="B1"/>
    </sheetView>
  </sheetViews>
  <sheetFormatPr baseColWidth="10" defaultRowHeight="14.4" x14ac:dyDescent="0.3"/>
  <cols>
    <col min="3" max="3" width="15.109375" customWidth="1"/>
    <col min="5" max="5" width="15.44140625" bestFit="1" customWidth="1"/>
    <col min="6" max="6" width="15.33203125" bestFit="1" customWidth="1"/>
    <col min="7" max="7" width="15.6640625" bestFit="1" customWidth="1"/>
    <col min="8" max="8" width="15.44140625" bestFit="1" customWidth="1"/>
    <col min="9" max="9" width="15.6640625" bestFit="1" customWidth="1"/>
    <col min="10" max="10" width="15.44140625" bestFit="1" customWidth="1"/>
    <col min="11" max="12" width="15.5546875" bestFit="1" customWidth="1"/>
    <col min="13" max="13" width="13.109375" bestFit="1" customWidth="1"/>
  </cols>
  <sheetData>
    <row r="1" spans="1:15" x14ac:dyDescent="0.3">
      <c r="A1" s="93" t="s">
        <v>94</v>
      </c>
      <c r="B1" s="93" t="s">
        <v>82</v>
      </c>
      <c r="C1" s="93" t="s">
        <v>95</v>
      </c>
      <c r="D1" s="93" t="s">
        <v>96</v>
      </c>
      <c r="E1" s="93" t="s">
        <v>97</v>
      </c>
      <c r="F1" s="93" t="s">
        <v>98</v>
      </c>
      <c r="G1" s="93" t="s">
        <v>99</v>
      </c>
      <c r="H1" s="93" t="s">
        <v>100</v>
      </c>
      <c r="I1" s="93" t="s">
        <v>101</v>
      </c>
      <c r="J1" s="93" t="s">
        <v>102</v>
      </c>
      <c r="K1" s="93" t="s">
        <v>103</v>
      </c>
      <c r="L1" s="93" t="s">
        <v>104</v>
      </c>
      <c r="M1" s="93" t="s">
        <v>105</v>
      </c>
      <c r="N1" s="93" t="s">
        <v>106</v>
      </c>
      <c r="O1" s="93" t="s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4"/>
  <sheetViews>
    <sheetView workbookViewId="0">
      <selection activeCell="B30" sqref="B30"/>
    </sheetView>
  </sheetViews>
  <sheetFormatPr baseColWidth="10" defaultRowHeight="14.4" x14ac:dyDescent="0.3"/>
  <cols>
    <col min="2" max="2" width="38.6640625" style="106" bestFit="1" customWidth="1"/>
    <col min="5" max="5" width="13.5546875" bestFit="1" customWidth="1"/>
  </cols>
  <sheetData>
    <row r="1" spans="1:14" x14ac:dyDescent="0.3">
      <c r="A1" s="93" t="s">
        <v>94</v>
      </c>
      <c r="B1" s="93" t="s">
        <v>82</v>
      </c>
      <c r="C1" s="93" t="s">
        <v>95</v>
      </c>
      <c r="D1" s="93" t="s">
        <v>96</v>
      </c>
      <c r="E1" s="93" t="s">
        <v>97</v>
      </c>
      <c r="F1" s="93" t="s">
        <v>98</v>
      </c>
      <c r="G1" s="93" t="s">
        <v>99</v>
      </c>
      <c r="H1" s="93" t="s">
        <v>100</v>
      </c>
      <c r="I1" s="93" t="s">
        <v>101</v>
      </c>
      <c r="J1" s="93" t="s">
        <v>102</v>
      </c>
      <c r="K1" s="93" t="s">
        <v>103</v>
      </c>
      <c r="L1" s="93" t="s">
        <v>104</v>
      </c>
      <c r="M1" s="93" t="s">
        <v>105</v>
      </c>
      <c r="N1" s="93" t="s">
        <v>106</v>
      </c>
    </row>
    <row r="2" spans="1:14" x14ac:dyDescent="0.3">
      <c r="B2"/>
    </row>
    <row r="3" spans="1:14" x14ac:dyDescent="0.3">
      <c r="B3"/>
    </row>
    <row r="4" spans="1:14" x14ac:dyDescent="0.3">
      <c r="B4"/>
    </row>
    <row r="5" spans="1:14" x14ac:dyDescent="0.3">
      <c r="B5"/>
    </row>
    <row r="6" spans="1:14" x14ac:dyDescent="0.3">
      <c r="B6"/>
    </row>
    <row r="7" spans="1:14" x14ac:dyDescent="0.3">
      <c r="B7"/>
    </row>
    <row r="8" spans="1:14" x14ac:dyDescent="0.3">
      <c r="B8"/>
    </row>
    <row r="9" spans="1:14" x14ac:dyDescent="0.3">
      <c r="B9"/>
    </row>
    <row r="10" spans="1:14" x14ac:dyDescent="0.3">
      <c r="B10"/>
    </row>
    <row r="11" spans="1:14" x14ac:dyDescent="0.3">
      <c r="B11"/>
    </row>
    <row r="12" spans="1:14" x14ac:dyDescent="0.3">
      <c r="B12"/>
    </row>
    <row r="13" spans="1:14" x14ac:dyDescent="0.3">
      <c r="B13"/>
    </row>
    <row r="14" spans="1:14" x14ac:dyDescent="0.3">
      <c r="B14"/>
    </row>
    <row r="15" spans="1:14" x14ac:dyDescent="0.3">
      <c r="B15"/>
    </row>
    <row r="16" spans="1:14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</sheetData>
  <autoFilter ref="A1:N84" xr:uid="{D286AC2F-6D2E-48C2-B3B6-336605E18D2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4"/>
  <sheetViews>
    <sheetView workbookViewId="0">
      <selection activeCell="I1" sqref="I1"/>
    </sheetView>
  </sheetViews>
  <sheetFormatPr baseColWidth="10" defaultRowHeight="14.4" x14ac:dyDescent="0.3"/>
  <cols>
    <col min="1" max="1" width="13.88671875" style="106" customWidth="1"/>
    <col min="2" max="2" width="18.5546875" style="106" customWidth="1"/>
    <col min="3" max="3" width="15.33203125" style="106" customWidth="1"/>
    <col min="4" max="4" width="34.77734375" style="106" customWidth="1"/>
    <col min="5" max="5" width="33.88671875" style="106" bestFit="1" customWidth="1"/>
    <col min="6" max="6" width="52.109375" style="106" bestFit="1" customWidth="1"/>
    <col min="7" max="7" width="9.5546875" style="98" customWidth="1"/>
    <col min="8" max="8" width="16.44140625" style="106" customWidth="1"/>
  </cols>
  <sheetData>
    <row r="1" spans="1:9" s="90" customFormat="1" x14ac:dyDescent="0.3">
      <c r="A1" s="95" t="s">
        <v>80</v>
      </c>
      <c r="B1" s="95" t="s">
        <v>107</v>
      </c>
      <c r="C1" s="95" t="s">
        <v>108</v>
      </c>
      <c r="D1" s="95" t="s">
        <v>109</v>
      </c>
      <c r="E1" s="95" t="s">
        <v>110</v>
      </c>
      <c r="F1" s="95" t="s">
        <v>111</v>
      </c>
      <c r="G1" s="96" t="s">
        <v>75</v>
      </c>
      <c r="H1" s="95" t="s">
        <v>84</v>
      </c>
      <c r="I1" s="95" t="s">
        <v>453</v>
      </c>
    </row>
    <row r="2" spans="1:9" x14ac:dyDescent="0.3">
      <c r="A2" s="108"/>
      <c r="B2"/>
      <c r="C2"/>
      <c r="D2"/>
      <c r="E2"/>
      <c r="F2"/>
      <c r="G2"/>
      <c r="H2"/>
    </row>
    <row r="3" spans="1:9" x14ac:dyDescent="0.3">
      <c r="A3" s="108"/>
      <c r="B3"/>
      <c r="C3"/>
      <c r="D3"/>
      <c r="E3"/>
      <c r="F3"/>
      <c r="G3"/>
      <c r="H3"/>
    </row>
    <row r="4" spans="1:9" x14ac:dyDescent="0.3">
      <c r="A4" s="108"/>
      <c r="B4"/>
      <c r="C4"/>
      <c r="D4"/>
      <c r="E4"/>
      <c r="F4"/>
      <c r="G4"/>
      <c r="H4"/>
    </row>
    <row r="5" spans="1:9" x14ac:dyDescent="0.3">
      <c r="A5" s="108"/>
      <c r="B5"/>
      <c r="C5"/>
      <c r="D5"/>
      <c r="E5"/>
      <c r="F5"/>
      <c r="G5"/>
      <c r="H5"/>
    </row>
    <row r="6" spans="1:9" x14ac:dyDescent="0.3">
      <c r="A6" s="108"/>
      <c r="B6"/>
      <c r="C6"/>
      <c r="D6"/>
      <c r="E6"/>
      <c r="F6"/>
      <c r="G6"/>
      <c r="H6"/>
    </row>
    <row r="7" spans="1:9" x14ac:dyDescent="0.3">
      <c r="A7" s="108"/>
      <c r="B7"/>
      <c r="C7"/>
      <c r="D7"/>
      <c r="E7"/>
      <c r="F7"/>
      <c r="G7"/>
      <c r="H7"/>
    </row>
    <row r="8" spans="1:9" x14ac:dyDescent="0.3">
      <c r="A8" s="108"/>
      <c r="B8"/>
      <c r="C8"/>
      <c r="D8"/>
      <c r="E8"/>
      <c r="F8"/>
      <c r="G8"/>
      <c r="H8"/>
    </row>
    <row r="9" spans="1:9" x14ac:dyDescent="0.3">
      <c r="A9" s="108"/>
      <c r="B9"/>
      <c r="C9"/>
      <c r="D9"/>
      <c r="E9"/>
      <c r="F9"/>
      <c r="G9"/>
      <c r="H9"/>
    </row>
    <row r="10" spans="1:9" x14ac:dyDescent="0.3">
      <c r="A10" s="108"/>
      <c r="B10"/>
      <c r="C10"/>
      <c r="D10"/>
      <c r="E10"/>
      <c r="F10"/>
      <c r="G10"/>
      <c r="H10"/>
    </row>
    <row r="11" spans="1:9" x14ac:dyDescent="0.3">
      <c r="A11" s="108"/>
      <c r="B11"/>
      <c r="C11"/>
      <c r="D11"/>
      <c r="E11"/>
      <c r="F11"/>
      <c r="G11"/>
      <c r="H11"/>
    </row>
    <row r="12" spans="1:9" x14ac:dyDescent="0.3">
      <c r="A12" s="108"/>
      <c r="B12"/>
      <c r="C12"/>
      <c r="D12"/>
      <c r="E12"/>
      <c r="F12"/>
      <c r="G12"/>
      <c r="H12"/>
    </row>
    <row r="13" spans="1:9" x14ac:dyDescent="0.3">
      <c r="A13" s="108"/>
      <c r="B13"/>
      <c r="C13"/>
      <c r="D13"/>
      <c r="E13"/>
      <c r="F13"/>
      <c r="G13"/>
      <c r="H13"/>
    </row>
    <row r="14" spans="1:9" x14ac:dyDescent="0.3">
      <c r="A14" s="108"/>
      <c r="B14"/>
      <c r="C14"/>
      <c r="D14"/>
      <c r="E14"/>
      <c r="F14"/>
      <c r="G14"/>
      <c r="H14"/>
    </row>
    <row r="15" spans="1:9" x14ac:dyDescent="0.3">
      <c r="A15" s="108"/>
      <c r="B15"/>
      <c r="C15"/>
      <c r="D15"/>
      <c r="E15"/>
      <c r="F15"/>
      <c r="G15"/>
      <c r="H15"/>
    </row>
    <row r="16" spans="1:9" x14ac:dyDescent="0.3">
      <c r="A16" s="108"/>
      <c r="B16"/>
      <c r="C16"/>
      <c r="D16"/>
      <c r="E16"/>
      <c r="F16"/>
      <c r="G16"/>
      <c r="H16"/>
    </row>
    <row r="17" spans="1:8" x14ac:dyDescent="0.3">
      <c r="A17" s="108"/>
      <c r="B17"/>
      <c r="C17"/>
      <c r="D17"/>
      <c r="E17"/>
      <c r="F17"/>
      <c r="G17"/>
      <c r="H17"/>
    </row>
    <row r="18" spans="1:8" x14ac:dyDescent="0.3">
      <c r="A18" s="108"/>
      <c r="B18"/>
      <c r="C18"/>
      <c r="D18"/>
      <c r="E18"/>
      <c r="F18"/>
      <c r="G18"/>
      <c r="H18"/>
    </row>
    <row r="19" spans="1:8" x14ac:dyDescent="0.3">
      <c r="A19" s="108"/>
      <c r="B19"/>
      <c r="C19"/>
      <c r="D19"/>
      <c r="E19"/>
      <c r="F19"/>
      <c r="G19"/>
      <c r="H19"/>
    </row>
    <row r="20" spans="1:8" x14ac:dyDescent="0.3">
      <c r="A20" s="108"/>
      <c r="B20"/>
      <c r="C20"/>
      <c r="D20"/>
      <c r="E20"/>
      <c r="F20"/>
      <c r="G20"/>
      <c r="H20"/>
    </row>
    <row r="21" spans="1:8" x14ac:dyDescent="0.3">
      <c r="A21" s="108"/>
      <c r="B21"/>
      <c r="C21"/>
      <c r="D21"/>
      <c r="E21"/>
      <c r="F21"/>
      <c r="G21"/>
      <c r="H21"/>
    </row>
    <row r="22" spans="1:8" x14ac:dyDescent="0.3">
      <c r="A22" s="108"/>
      <c r="B22"/>
      <c r="C22"/>
      <c r="D22"/>
      <c r="E22"/>
      <c r="F22"/>
      <c r="G22"/>
      <c r="H22"/>
    </row>
    <row r="23" spans="1:8" x14ac:dyDescent="0.3">
      <c r="A23" s="108"/>
      <c r="B23"/>
      <c r="C23"/>
      <c r="D23"/>
      <c r="E23"/>
      <c r="F23"/>
      <c r="G23"/>
      <c r="H23"/>
    </row>
    <row r="24" spans="1:8" x14ac:dyDescent="0.3">
      <c r="A24" s="108"/>
      <c r="B24"/>
      <c r="C24"/>
      <c r="D24"/>
      <c r="E24"/>
      <c r="F24"/>
      <c r="G24"/>
      <c r="H24"/>
    </row>
    <row r="25" spans="1:8" x14ac:dyDescent="0.3">
      <c r="A25" s="108"/>
      <c r="B25"/>
      <c r="C25"/>
      <c r="D25"/>
      <c r="E25"/>
      <c r="F25"/>
      <c r="G25"/>
      <c r="H25"/>
    </row>
    <row r="26" spans="1:8" x14ac:dyDescent="0.3">
      <c r="A26" s="108"/>
      <c r="B26"/>
      <c r="C26"/>
      <c r="D26"/>
      <c r="E26"/>
      <c r="F26"/>
      <c r="G26"/>
      <c r="H26"/>
    </row>
    <row r="27" spans="1:8" x14ac:dyDescent="0.3">
      <c r="A27" s="108"/>
      <c r="B27"/>
      <c r="C27"/>
      <c r="D27"/>
      <c r="E27"/>
      <c r="F27"/>
      <c r="G27"/>
      <c r="H27"/>
    </row>
    <row r="28" spans="1:8" x14ac:dyDescent="0.3">
      <c r="A28" s="108"/>
      <c r="B28"/>
      <c r="C28"/>
      <c r="D28"/>
      <c r="E28"/>
      <c r="F28"/>
      <c r="G28"/>
      <c r="H28"/>
    </row>
    <row r="29" spans="1:8" x14ac:dyDescent="0.3">
      <c r="A29" s="108"/>
      <c r="B29"/>
      <c r="C29"/>
      <c r="D29"/>
      <c r="E29"/>
      <c r="F29"/>
      <c r="G29"/>
      <c r="H29"/>
    </row>
    <row r="30" spans="1:8" x14ac:dyDescent="0.3">
      <c r="A30" s="108"/>
      <c r="B30"/>
      <c r="C30"/>
      <c r="D30"/>
      <c r="E30"/>
      <c r="F30"/>
      <c r="G30"/>
      <c r="H30"/>
    </row>
    <row r="31" spans="1:8" x14ac:dyDescent="0.3">
      <c r="A31" s="108"/>
      <c r="B31"/>
      <c r="C31"/>
      <c r="D31"/>
      <c r="E31"/>
      <c r="F31"/>
      <c r="G31"/>
      <c r="H31"/>
    </row>
    <row r="32" spans="1:8" x14ac:dyDescent="0.3">
      <c r="A32" s="108"/>
      <c r="B32"/>
      <c r="C32"/>
      <c r="D32"/>
      <c r="E32"/>
      <c r="F32"/>
      <c r="G32"/>
      <c r="H32"/>
    </row>
    <row r="33" spans="1:8" x14ac:dyDescent="0.3">
      <c r="A33" s="108"/>
      <c r="B33"/>
      <c r="C33"/>
      <c r="D33"/>
      <c r="E33"/>
      <c r="F33"/>
      <c r="G33"/>
      <c r="H33"/>
    </row>
    <row r="34" spans="1:8" x14ac:dyDescent="0.3">
      <c r="A34" s="108"/>
      <c r="B34"/>
      <c r="C34"/>
      <c r="D34"/>
      <c r="E34"/>
      <c r="F34"/>
      <c r="G34"/>
      <c r="H34"/>
    </row>
    <row r="35" spans="1:8" x14ac:dyDescent="0.3">
      <c r="A35" s="108"/>
      <c r="B35"/>
      <c r="C35"/>
      <c r="D35"/>
      <c r="E35"/>
      <c r="F35"/>
      <c r="G35"/>
      <c r="H35"/>
    </row>
    <row r="36" spans="1:8" x14ac:dyDescent="0.3">
      <c r="A36" s="108"/>
      <c r="B36"/>
      <c r="C36"/>
      <c r="D36"/>
      <c r="E36"/>
      <c r="F36"/>
      <c r="G36"/>
      <c r="H36"/>
    </row>
    <row r="37" spans="1:8" x14ac:dyDescent="0.3">
      <c r="A37" s="108"/>
      <c r="B37"/>
      <c r="C37"/>
      <c r="D37"/>
      <c r="E37"/>
      <c r="F37"/>
      <c r="G37"/>
      <c r="H37"/>
    </row>
    <row r="38" spans="1:8" x14ac:dyDescent="0.3">
      <c r="A38" s="108"/>
      <c r="B38"/>
      <c r="C38"/>
      <c r="D38"/>
      <c r="E38"/>
      <c r="F38"/>
      <c r="G38"/>
      <c r="H38"/>
    </row>
    <row r="39" spans="1:8" x14ac:dyDescent="0.3">
      <c r="A39" s="108"/>
      <c r="B39"/>
      <c r="C39"/>
      <c r="D39"/>
      <c r="E39"/>
      <c r="F39"/>
      <c r="G39"/>
      <c r="H39"/>
    </row>
    <row r="40" spans="1:8" x14ac:dyDescent="0.3">
      <c r="A40" s="108"/>
      <c r="B40"/>
      <c r="C40"/>
      <c r="D40"/>
      <c r="E40"/>
      <c r="F40"/>
      <c r="G40"/>
      <c r="H40"/>
    </row>
    <row r="41" spans="1:8" x14ac:dyDescent="0.3">
      <c r="A41" s="108"/>
      <c r="B41"/>
      <c r="C41"/>
      <c r="D41"/>
      <c r="E41"/>
      <c r="F41"/>
      <c r="G41"/>
      <c r="H41"/>
    </row>
    <row r="42" spans="1:8" x14ac:dyDescent="0.3">
      <c r="A42" s="108"/>
      <c r="B42"/>
      <c r="C42"/>
      <c r="D42"/>
      <c r="E42"/>
      <c r="F42"/>
      <c r="G42"/>
      <c r="H42"/>
    </row>
    <row r="43" spans="1:8" x14ac:dyDescent="0.3">
      <c r="A43" s="108"/>
      <c r="B43"/>
      <c r="C43"/>
      <c r="D43"/>
      <c r="E43"/>
      <c r="F43"/>
      <c r="G43"/>
      <c r="H43"/>
    </row>
    <row r="44" spans="1:8" x14ac:dyDescent="0.3">
      <c r="A44" s="108"/>
      <c r="B44"/>
      <c r="C44"/>
      <c r="D44"/>
      <c r="E44"/>
      <c r="F44"/>
      <c r="G44"/>
      <c r="H44"/>
    </row>
    <row r="45" spans="1:8" x14ac:dyDescent="0.3">
      <c r="A45" s="108"/>
      <c r="B45"/>
      <c r="C45"/>
      <c r="D45"/>
      <c r="E45"/>
      <c r="F45"/>
      <c r="G45"/>
      <c r="H45"/>
    </row>
    <row r="46" spans="1:8" x14ac:dyDescent="0.3">
      <c r="A46" s="108"/>
      <c r="B46"/>
      <c r="C46"/>
      <c r="D46"/>
      <c r="E46"/>
      <c r="F46"/>
      <c r="G46"/>
      <c r="H46"/>
    </row>
    <row r="47" spans="1:8" x14ac:dyDescent="0.3">
      <c r="A47" s="108"/>
      <c r="B47"/>
      <c r="C47"/>
      <c r="D47"/>
      <c r="E47"/>
      <c r="F47"/>
      <c r="G47"/>
      <c r="H47"/>
    </row>
    <row r="48" spans="1:8" x14ac:dyDescent="0.3">
      <c r="A48" s="108"/>
      <c r="B48"/>
      <c r="C48"/>
      <c r="D48"/>
      <c r="E48"/>
      <c r="F48"/>
      <c r="G48"/>
      <c r="H48"/>
    </row>
    <row r="49" spans="1:8" x14ac:dyDescent="0.3">
      <c r="A49" s="108"/>
      <c r="B49"/>
      <c r="C49"/>
      <c r="D49"/>
      <c r="E49"/>
      <c r="F49"/>
      <c r="G49"/>
      <c r="H49"/>
    </row>
    <row r="50" spans="1:8" x14ac:dyDescent="0.3">
      <c r="A50" s="108"/>
      <c r="B50"/>
      <c r="C50"/>
      <c r="D50"/>
      <c r="E50"/>
      <c r="F50"/>
      <c r="G50"/>
      <c r="H50"/>
    </row>
    <row r="51" spans="1:8" x14ac:dyDescent="0.3">
      <c r="A51" s="108"/>
      <c r="B51"/>
      <c r="C51"/>
      <c r="D51"/>
      <c r="E51"/>
      <c r="F51"/>
      <c r="G51"/>
      <c r="H51"/>
    </row>
    <row r="52" spans="1:8" x14ac:dyDescent="0.3">
      <c r="A52" s="108"/>
      <c r="B52"/>
      <c r="C52"/>
      <c r="D52"/>
      <c r="E52"/>
      <c r="F52"/>
      <c r="G52"/>
      <c r="H52"/>
    </row>
    <row r="53" spans="1:8" x14ac:dyDescent="0.3">
      <c r="A53" s="108"/>
      <c r="B53"/>
      <c r="C53"/>
      <c r="D53"/>
      <c r="E53"/>
      <c r="F53"/>
      <c r="G53"/>
      <c r="H53"/>
    </row>
    <row r="54" spans="1:8" x14ac:dyDescent="0.3">
      <c r="A54" s="108"/>
      <c r="B54"/>
      <c r="C54"/>
      <c r="D54"/>
      <c r="E54"/>
      <c r="F54"/>
      <c r="G54"/>
      <c r="H54"/>
    </row>
    <row r="55" spans="1:8" x14ac:dyDescent="0.3">
      <c r="A55" s="108"/>
      <c r="B55"/>
      <c r="C55"/>
      <c r="D55"/>
      <c r="E55"/>
      <c r="F55"/>
      <c r="G55"/>
      <c r="H55"/>
    </row>
    <row r="56" spans="1:8" x14ac:dyDescent="0.3">
      <c r="A56" s="108"/>
      <c r="B56"/>
      <c r="C56"/>
      <c r="D56"/>
      <c r="E56"/>
      <c r="F56"/>
      <c r="G56"/>
      <c r="H56"/>
    </row>
    <row r="57" spans="1:8" x14ac:dyDescent="0.3">
      <c r="A57" s="108"/>
      <c r="B57"/>
      <c r="C57"/>
      <c r="D57"/>
      <c r="E57"/>
      <c r="F57"/>
      <c r="G57"/>
      <c r="H57"/>
    </row>
    <row r="58" spans="1:8" x14ac:dyDescent="0.3">
      <c r="A58" s="108"/>
      <c r="B58"/>
      <c r="C58"/>
      <c r="D58"/>
      <c r="E58"/>
      <c r="F58"/>
      <c r="G58"/>
      <c r="H58"/>
    </row>
    <row r="59" spans="1:8" x14ac:dyDescent="0.3">
      <c r="A59" s="108"/>
      <c r="B59"/>
      <c r="C59"/>
      <c r="D59"/>
      <c r="E59"/>
      <c r="F59"/>
      <c r="G59"/>
      <c r="H59"/>
    </row>
    <row r="60" spans="1:8" x14ac:dyDescent="0.3">
      <c r="A60" s="108"/>
      <c r="B60"/>
      <c r="C60"/>
      <c r="D60"/>
      <c r="E60"/>
      <c r="F60"/>
      <c r="G60"/>
      <c r="H60"/>
    </row>
    <row r="61" spans="1:8" x14ac:dyDescent="0.3">
      <c r="A61" s="108"/>
      <c r="B61"/>
      <c r="C61"/>
      <c r="D61"/>
      <c r="E61"/>
      <c r="F61"/>
      <c r="G61"/>
      <c r="H61"/>
    </row>
    <row r="62" spans="1:8" x14ac:dyDescent="0.3">
      <c r="A62" s="108"/>
      <c r="B62"/>
      <c r="C62"/>
      <c r="D62"/>
      <c r="E62"/>
      <c r="F62"/>
      <c r="G62"/>
      <c r="H62"/>
    </row>
    <row r="63" spans="1:8" x14ac:dyDescent="0.3">
      <c r="A63" s="108"/>
      <c r="B63"/>
      <c r="C63"/>
      <c r="D63"/>
      <c r="E63"/>
      <c r="F63"/>
      <c r="G63"/>
      <c r="H63"/>
    </row>
    <row r="64" spans="1:8" x14ac:dyDescent="0.3">
      <c r="A64" s="108"/>
      <c r="B64"/>
      <c r="C64"/>
      <c r="D64"/>
      <c r="E64"/>
      <c r="F64"/>
      <c r="G64"/>
      <c r="H64"/>
    </row>
    <row r="65" spans="1:8" x14ac:dyDescent="0.3">
      <c r="A65" s="108"/>
      <c r="B65"/>
      <c r="C65"/>
      <c r="D65"/>
      <c r="E65"/>
      <c r="F65"/>
      <c r="G65"/>
      <c r="H65"/>
    </row>
    <row r="66" spans="1:8" x14ac:dyDescent="0.3">
      <c r="A66" s="108"/>
      <c r="B66"/>
      <c r="C66"/>
      <c r="D66"/>
      <c r="E66"/>
      <c r="F66"/>
      <c r="G66"/>
      <c r="H66"/>
    </row>
    <row r="67" spans="1:8" x14ac:dyDescent="0.3">
      <c r="A67" s="108"/>
      <c r="B67"/>
      <c r="C67"/>
      <c r="D67"/>
      <c r="E67"/>
      <c r="F67"/>
      <c r="G67"/>
      <c r="H67"/>
    </row>
    <row r="68" spans="1:8" x14ac:dyDescent="0.3">
      <c r="A68" s="108"/>
      <c r="B68"/>
      <c r="C68"/>
      <c r="D68"/>
      <c r="E68"/>
      <c r="F68"/>
      <c r="G68"/>
      <c r="H68"/>
    </row>
    <row r="69" spans="1:8" x14ac:dyDescent="0.3">
      <c r="A69" s="108"/>
      <c r="B69"/>
      <c r="C69"/>
      <c r="D69"/>
      <c r="E69"/>
      <c r="F69"/>
      <c r="G69"/>
      <c r="H69"/>
    </row>
    <row r="70" spans="1:8" x14ac:dyDescent="0.3">
      <c r="A70" s="108"/>
      <c r="B70"/>
      <c r="C70"/>
      <c r="D70"/>
      <c r="E70"/>
      <c r="F70"/>
      <c r="G70"/>
      <c r="H70"/>
    </row>
    <row r="71" spans="1:8" x14ac:dyDescent="0.3">
      <c r="A71" s="108"/>
      <c r="B71"/>
      <c r="C71"/>
      <c r="D71"/>
      <c r="E71"/>
      <c r="F71"/>
      <c r="G71"/>
      <c r="H71"/>
    </row>
    <row r="72" spans="1:8" x14ac:dyDescent="0.3">
      <c r="A72" s="108"/>
      <c r="B72"/>
      <c r="C72"/>
      <c r="D72"/>
      <c r="E72"/>
      <c r="F72"/>
      <c r="G72"/>
      <c r="H72"/>
    </row>
    <row r="73" spans="1:8" x14ac:dyDescent="0.3">
      <c r="A73" s="108"/>
      <c r="B73"/>
      <c r="C73"/>
      <c r="D73"/>
      <c r="E73"/>
      <c r="F73"/>
      <c r="G73"/>
      <c r="H73"/>
    </row>
    <row r="74" spans="1:8" x14ac:dyDescent="0.3">
      <c r="A74" s="108"/>
      <c r="B74"/>
      <c r="C74"/>
      <c r="D74"/>
      <c r="E74"/>
      <c r="F74"/>
      <c r="G74"/>
      <c r="H74"/>
    </row>
    <row r="75" spans="1:8" x14ac:dyDescent="0.3">
      <c r="A75" s="108"/>
      <c r="B75"/>
      <c r="C75"/>
      <c r="D75"/>
      <c r="E75"/>
      <c r="F75"/>
      <c r="G75"/>
      <c r="H75"/>
    </row>
    <row r="76" spans="1:8" x14ac:dyDescent="0.3">
      <c r="A76" s="108"/>
      <c r="B76"/>
      <c r="C76"/>
      <c r="D76"/>
      <c r="E76"/>
      <c r="F76"/>
      <c r="G76"/>
      <c r="H76"/>
    </row>
    <row r="77" spans="1:8" x14ac:dyDescent="0.3">
      <c r="A77" s="108"/>
      <c r="B77"/>
      <c r="C77"/>
      <c r="D77"/>
      <c r="E77"/>
      <c r="F77"/>
      <c r="G77"/>
      <c r="H77"/>
    </row>
    <row r="78" spans="1:8" x14ac:dyDescent="0.3">
      <c r="A78" s="108"/>
      <c r="B78"/>
      <c r="C78"/>
      <c r="D78"/>
      <c r="E78"/>
      <c r="F78"/>
      <c r="G78"/>
      <c r="H78"/>
    </row>
    <row r="79" spans="1:8" x14ac:dyDescent="0.3">
      <c r="A79" s="108"/>
      <c r="B79"/>
      <c r="C79"/>
      <c r="D79"/>
      <c r="E79"/>
      <c r="F79"/>
      <c r="G79"/>
      <c r="H79"/>
    </row>
    <row r="80" spans="1:8" x14ac:dyDescent="0.3">
      <c r="A80" s="108"/>
      <c r="B80"/>
      <c r="C80"/>
      <c r="D80"/>
      <c r="E80"/>
      <c r="F80"/>
      <c r="G80"/>
      <c r="H80"/>
    </row>
    <row r="81" spans="1:8" x14ac:dyDescent="0.3">
      <c r="A81" s="108"/>
      <c r="B81"/>
      <c r="C81"/>
      <c r="D81"/>
      <c r="E81"/>
      <c r="F81"/>
      <c r="G81"/>
      <c r="H81"/>
    </row>
    <row r="82" spans="1:8" x14ac:dyDescent="0.3">
      <c r="A82" s="108"/>
      <c r="B82"/>
      <c r="C82"/>
      <c r="D82"/>
      <c r="E82"/>
      <c r="F82"/>
      <c r="G82"/>
      <c r="H82"/>
    </row>
    <row r="83" spans="1:8" x14ac:dyDescent="0.3">
      <c r="A83" s="108"/>
      <c r="B83"/>
      <c r="C83"/>
      <c r="D83"/>
      <c r="E83"/>
      <c r="F83"/>
      <c r="G83"/>
      <c r="H83"/>
    </row>
    <row r="84" spans="1:8" x14ac:dyDescent="0.3">
      <c r="A84" s="108"/>
      <c r="B84"/>
      <c r="C84"/>
      <c r="D84"/>
      <c r="E84"/>
      <c r="F84"/>
      <c r="G84"/>
      <c r="H84"/>
    </row>
    <row r="85" spans="1:8" x14ac:dyDescent="0.3">
      <c r="A85" s="108"/>
      <c r="B85"/>
      <c r="C85"/>
      <c r="D85"/>
      <c r="E85"/>
      <c r="F85"/>
      <c r="G85"/>
      <c r="H85"/>
    </row>
    <row r="86" spans="1:8" x14ac:dyDescent="0.3">
      <c r="A86" s="108"/>
      <c r="B86"/>
      <c r="C86"/>
      <c r="D86"/>
      <c r="E86"/>
      <c r="F86"/>
      <c r="G86"/>
      <c r="H86"/>
    </row>
    <row r="87" spans="1:8" x14ac:dyDescent="0.3">
      <c r="A87" s="108"/>
      <c r="B87"/>
      <c r="C87"/>
      <c r="D87"/>
      <c r="E87"/>
      <c r="F87"/>
      <c r="G87"/>
      <c r="H87"/>
    </row>
    <row r="88" spans="1:8" x14ac:dyDescent="0.3">
      <c r="A88" s="108"/>
      <c r="B88"/>
      <c r="C88"/>
      <c r="D88"/>
      <c r="E88"/>
      <c r="F88"/>
      <c r="G88"/>
      <c r="H88"/>
    </row>
    <row r="89" spans="1:8" x14ac:dyDescent="0.3">
      <c r="A89" s="108"/>
      <c r="B89"/>
      <c r="C89"/>
      <c r="D89"/>
      <c r="E89"/>
      <c r="F89"/>
      <c r="G89"/>
      <c r="H89"/>
    </row>
    <row r="90" spans="1:8" x14ac:dyDescent="0.3">
      <c r="A90" s="108"/>
      <c r="B90"/>
      <c r="C90"/>
      <c r="D90"/>
      <c r="E90"/>
      <c r="F90"/>
      <c r="G90"/>
      <c r="H90"/>
    </row>
    <row r="91" spans="1:8" x14ac:dyDescent="0.3">
      <c r="A91" s="108"/>
      <c r="B91"/>
      <c r="C91"/>
      <c r="D91"/>
      <c r="E91"/>
      <c r="F91"/>
      <c r="G91"/>
      <c r="H91"/>
    </row>
    <row r="92" spans="1:8" x14ac:dyDescent="0.3">
      <c r="A92" s="108"/>
      <c r="B92"/>
      <c r="C92"/>
      <c r="D92"/>
      <c r="E92"/>
      <c r="F92"/>
      <c r="G92"/>
      <c r="H92"/>
    </row>
    <row r="93" spans="1:8" x14ac:dyDescent="0.3">
      <c r="A93" s="108"/>
      <c r="B93"/>
      <c r="C93"/>
      <c r="D93"/>
      <c r="E93"/>
      <c r="F93"/>
      <c r="G93"/>
      <c r="H93"/>
    </row>
    <row r="94" spans="1:8" x14ac:dyDescent="0.3">
      <c r="A94" s="108"/>
      <c r="B94"/>
      <c r="C94"/>
      <c r="D94"/>
      <c r="E94"/>
      <c r="F94"/>
      <c r="G94"/>
      <c r="H94"/>
    </row>
    <row r="95" spans="1:8" x14ac:dyDescent="0.3">
      <c r="A95" s="108"/>
      <c r="B95"/>
      <c r="C95"/>
      <c r="D95"/>
      <c r="E95"/>
      <c r="F95"/>
      <c r="G95"/>
      <c r="H95"/>
    </row>
    <row r="96" spans="1:8" x14ac:dyDescent="0.3">
      <c r="A96" s="108"/>
      <c r="B96"/>
      <c r="C96"/>
      <c r="D96"/>
      <c r="E96"/>
      <c r="F96"/>
      <c r="G96"/>
      <c r="H96"/>
    </row>
    <row r="97" spans="1:8" x14ac:dyDescent="0.3">
      <c r="A97" s="108"/>
      <c r="B97"/>
      <c r="C97"/>
      <c r="D97"/>
      <c r="E97"/>
      <c r="F97"/>
      <c r="G97"/>
      <c r="H97"/>
    </row>
    <row r="98" spans="1:8" x14ac:dyDescent="0.3">
      <c r="A98" s="108"/>
      <c r="B98"/>
      <c r="C98"/>
      <c r="D98"/>
      <c r="E98"/>
      <c r="F98"/>
      <c r="G98"/>
      <c r="H98"/>
    </row>
    <row r="99" spans="1:8" x14ac:dyDescent="0.3">
      <c r="A99" s="108"/>
      <c r="B99"/>
      <c r="C99"/>
      <c r="D99"/>
      <c r="E99"/>
      <c r="F99"/>
      <c r="G99"/>
      <c r="H99"/>
    </row>
    <row r="100" spans="1:8" x14ac:dyDescent="0.3">
      <c r="A100" s="108"/>
      <c r="B100"/>
      <c r="C100"/>
      <c r="D100"/>
      <c r="E100"/>
      <c r="F100"/>
      <c r="G100"/>
      <c r="H100"/>
    </row>
    <row r="101" spans="1:8" x14ac:dyDescent="0.3">
      <c r="A101" s="108"/>
      <c r="B101"/>
      <c r="C101"/>
      <c r="D101"/>
      <c r="E101"/>
      <c r="F101"/>
      <c r="G101"/>
      <c r="H101"/>
    </row>
    <row r="102" spans="1:8" x14ac:dyDescent="0.3">
      <c r="A102" s="108"/>
      <c r="B102"/>
      <c r="C102"/>
      <c r="D102"/>
      <c r="E102"/>
      <c r="F102"/>
      <c r="G102"/>
      <c r="H102"/>
    </row>
    <row r="103" spans="1:8" x14ac:dyDescent="0.3">
      <c r="A103" s="108"/>
      <c r="B103"/>
      <c r="C103"/>
      <c r="D103"/>
      <c r="E103"/>
      <c r="F103"/>
      <c r="G103"/>
      <c r="H103"/>
    </row>
    <row r="104" spans="1:8" x14ac:dyDescent="0.3">
      <c r="A104" s="108"/>
      <c r="B104"/>
      <c r="C104"/>
      <c r="D104"/>
      <c r="E104"/>
      <c r="F104"/>
      <c r="G104"/>
      <c r="H104"/>
    </row>
    <row r="105" spans="1:8" x14ac:dyDescent="0.3">
      <c r="A105" s="108"/>
      <c r="B105"/>
      <c r="C105"/>
      <c r="D105"/>
      <c r="E105"/>
      <c r="F105"/>
      <c r="G105"/>
      <c r="H105"/>
    </row>
    <row r="106" spans="1:8" x14ac:dyDescent="0.3">
      <c r="A106" s="108"/>
      <c r="B106"/>
      <c r="C106"/>
      <c r="D106"/>
      <c r="E106"/>
      <c r="F106"/>
      <c r="G106"/>
      <c r="H106"/>
    </row>
    <row r="107" spans="1:8" x14ac:dyDescent="0.3">
      <c r="A107" s="108"/>
      <c r="B107"/>
      <c r="C107"/>
      <c r="D107"/>
      <c r="E107"/>
      <c r="F107"/>
      <c r="G107"/>
      <c r="H107"/>
    </row>
    <row r="108" spans="1:8" x14ac:dyDescent="0.3">
      <c r="A108" s="108"/>
      <c r="B108"/>
      <c r="C108"/>
      <c r="D108"/>
      <c r="E108"/>
      <c r="F108"/>
      <c r="G108"/>
      <c r="H108"/>
    </row>
    <row r="109" spans="1:8" x14ac:dyDescent="0.3">
      <c r="A109" s="108"/>
      <c r="B109"/>
      <c r="C109"/>
      <c r="D109"/>
      <c r="E109"/>
      <c r="F109"/>
      <c r="G109"/>
      <c r="H109"/>
    </row>
    <row r="110" spans="1:8" x14ac:dyDescent="0.3">
      <c r="A110" s="108"/>
      <c r="B110"/>
      <c r="C110"/>
      <c r="D110"/>
      <c r="E110"/>
      <c r="F110"/>
      <c r="G110"/>
      <c r="H110"/>
    </row>
    <row r="111" spans="1:8" x14ac:dyDescent="0.3">
      <c r="A111" s="108"/>
      <c r="B111"/>
      <c r="C111"/>
      <c r="D111"/>
      <c r="E111"/>
      <c r="F111"/>
      <c r="G111"/>
      <c r="H111"/>
    </row>
    <row r="112" spans="1:8" x14ac:dyDescent="0.3">
      <c r="A112" s="108"/>
      <c r="B112"/>
      <c r="C112"/>
      <c r="D112"/>
      <c r="E112"/>
      <c r="F112"/>
      <c r="G112"/>
      <c r="H112"/>
    </row>
    <row r="113" spans="1:8" x14ac:dyDescent="0.3">
      <c r="A113" s="108"/>
      <c r="B113"/>
      <c r="C113"/>
      <c r="D113"/>
      <c r="E113"/>
      <c r="F113"/>
      <c r="G113"/>
      <c r="H113"/>
    </row>
    <row r="114" spans="1:8" x14ac:dyDescent="0.3">
      <c r="A114" s="108"/>
      <c r="B114"/>
      <c r="C114"/>
      <c r="D114"/>
      <c r="E114"/>
      <c r="F114"/>
      <c r="G114"/>
      <c r="H114"/>
    </row>
    <row r="115" spans="1:8" x14ac:dyDescent="0.3">
      <c r="A115" s="108"/>
      <c r="B115"/>
      <c r="C115"/>
      <c r="D115"/>
      <c r="E115"/>
      <c r="F115"/>
      <c r="G115"/>
      <c r="H115"/>
    </row>
    <row r="116" spans="1:8" x14ac:dyDescent="0.3">
      <c r="A116" s="108"/>
      <c r="B116"/>
      <c r="C116"/>
      <c r="D116"/>
      <c r="E116"/>
      <c r="F116"/>
      <c r="G116"/>
      <c r="H116"/>
    </row>
    <row r="117" spans="1:8" x14ac:dyDescent="0.3">
      <c r="A117" s="108"/>
      <c r="B117"/>
      <c r="C117"/>
      <c r="D117"/>
      <c r="E117"/>
      <c r="F117"/>
      <c r="G117"/>
      <c r="H117"/>
    </row>
    <row r="118" spans="1:8" x14ac:dyDescent="0.3">
      <c r="A118" s="108"/>
      <c r="B118"/>
      <c r="C118"/>
      <c r="D118"/>
      <c r="E118"/>
      <c r="F118"/>
      <c r="G118"/>
      <c r="H118"/>
    </row>
    <row r="119" spans="1:8" x14ac:dyDescent="0.3">
      <c r="A119" s="108"/>
      <c r="B119"/>
      <c r="C119"/>
      <c r="D119"/>
      <c r="E119"/>
      <c r="F119"/>
      <c r="G119"/>
      <c r="H119"/>
    </row>
    <row r="120" spans="1:8" x14ac:dyDescent="0.3">
      <c r="A120" s="108"/>
    </row>
    <row r="121" spans="1:8" x14ac:dyDescent="0.3">
      <c r="A121" s="108"/>
    </row>
    <row r="122" spans="1:8" x14ac:dyDescent="0.3">
      <c r="A122" s="108"/>
    </row>
    <row r="123" spans="1:8" x14ac:dyDescent="0.3">
      <c r="A123" s="108"/>
    </row>
    <row r="124" spans="1:8" x14ac:dyDescent="0.3">
      <c r="A124" s="108"/>
    </row>
    <row r="125" spans="1:8" x14ac:dyDescent="0.3">
      <c r="A125" s="108"/>
    </row>
    <row r="126" spans="1:8" x14ac:dyDescent="0.3">
      <c r="A126" s="108"/>
    </row>
    <row r="127" spans="1:8" x14ac:dyDescent="0.3">
      <c r="A127" s="108"/>
    </row>
    <row r="128" spans="1:8" x14ac:dyDescent="0.3">
      <c r="A128" s="108"/>
    </row>
    <row r="129" spans="1:1" x14ac:dyDescent="0.3">
      <c r="A129" s="108"/>
    </row>
    <row r="130" spans="1:1" x14ac:dyDescent="0.3">
      <c r="A130" s="108"/>
    </row>
    <row r="131" spans="1:1" x14ac:dyDescent="0.3">
      <c r="A131" s="108"/>
    </row>
    <row r="132" spans="1:1" x14ac:dyDescent="0.3">
      <c r="A132" s="108"/>
    </row>
    <row r="133" spans="1:1" x14ac:dyDescent="0.3">
      <c r="A133" s="108"/>
    </row>
    <row r="134" spans="1:1" x14ac:dyDescent="0.3">
      <c r="A134" s="10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view="pageBreakPreview" zoomScale="110" zoomScaleNormal="100" zoomScaleSheetLayoutView="110" workbookViewId="0">
      <selection activeCell="B9" sqref="B9"/>
    </sheetView>
  </sheetViews>
  <sheetFormatPr baseColWidth="10" defaultRowHeight="14.4" x14ac:dyDescent="0.3"/>
  <cols>
    <col min="1" max="1" width="16" style="106" bestFit="1" customWidth="1"/>
    <col min="2" max="2" width="11.5546875" style="98" customWidth="1"/>
    <col min="4" max="4" width="23.6640625" style="98" bestFit="1" customWidth="1"/>
    <col min="5" max="5" width="26.33203125" style="17" bestFit="1" customWidth="1"/>
    <col min="6" max="6" width="24.88671875" style="98" bestFit="1" customWidth="1"/>
    <col min="7" max="7" width="20.6640625" style="98" bestFit="1" customWidth="1"/>
    <col min="8" max="8" width="23.33203125" style="98" bestFit="1" customWidth="1"/>
    <col min="9" max="9" width="21.88671875" style="98" bestFit="1" customWidth="1"/>
  </cols>
  <sheetData>
    <row r="1" spans="1:9" x14ac:dyDescent="0.3">
      <c r="A1" s="255" t="s">
        <v>112</v>
      </c>
      <c r="B1" s="255" t="s">
        <v>113</v>
      </c>
      <c r="C1" s="255" t="s">
        <v>114</v>
      </c>
      <c r="D1" s="45">
        <v>12</v>
      </c>
      <c r="E1" s="45">
        <v>13</v>
      </c>
      <c r="F1" s="45">
        <v>14</v>
      </c>
      <c r="G1" s="45">
        <v>21</v>
      </c>
      <c r="H1" s="45">
        <v>22</v>
      </c>
      <c r="I1" s="45">
        <v>24</v>
      </c>
    </row>
    <row r="2" spans="1:9" x14ac:dyDescent="0.3">
      <c r="A2" s="256"/>
      <c r="B2" s="256"/>
      <c r="C2" s="256"/>
      <c r="D2" s="45" t="s">
        <v>115</v>
      </c>
      <c r="E2" s="45" t="s">
        <v>116</v>
      </c>
      <c r="F2" s="45" t="s">
        <v>117</v>
      </c>
      <c r="G2" s="45" t="s">
        <v>118</v>
      </c>
      <c r="H2" s="45" t="s">
        <v>119</v>
      </c>
      <c r="I2" s="45" t="s">
        <v>120</v>
      </c>
    </row>
    <row r="3" spans="1:9" x14ac:dyDescent="0.3">
      <c r="A3" s="3" t="s">
        <v>121</v>
      </c>
      <c r="B3" s="52">
        <v>10</v>
      </c>
      <c r="C3" s="52">
        <v>2018</v>
      </c>
      <c r="D3" s="5">
        <v>1</v>
      </c>
      <c r="E3" s="5">
        <v>0.5</v>
      </c>
      <c r="F3" s="5">
        <v>0.15</v>
      </c>
      <c r="G3" s="5">
        <v>0.5</v>
      </c>
      <c r="H3" s="5">
        <v>0.7</v>
      </c>
      <c r="I3" s="6">
        <v>0.05</v>
      </c>
    </row>
    <row r="4" spans="1:9" x14ac:dyDescent="0.3">
      <c r="A4" s="3" t="s">
        <v>122</v>
      </c>
      <c r="B4" s="52">
        <v>10</v>
      </c>
      <c r="C4" s="52">
        <v>2018</v>
      </c>
      <c r="D4" s="6">
        <v>0.5</v>
      </c>
      <c r="E4" s="5">
        <v>0.7</v>
      </c>
      <c r="F4" s="6">
        <v>0.1</v>
      </c>
      <c r="G4" s="6">
        <v>0.5</v>
      </c>
      <c r="H4" s="6">
        <v>0.8</v>
      </c>
      <c r="I4" s="6">
        <v>0.1</v>
      </c>
    </row>
    <row r="5" spans="1:9" x14ac:dyDescent="0.3">
      <c r="A5" s="3" t="s">
        <v>123</v>
      </c>
      <c r="B5" s="52">
        <v>10</v>
      </c>
      <c r="C5" s="52">
        <v>2018</v>
      </c>
      <c r="D5" s="6">
        <v>0.8</v>
      </c>
      <c r="E5" s="5">
        <v>0.5</v>
      </c>
      <c r="F5" s="6">
        <v>0.2</v>
      </c>
      <c r="G5" s="6">
        <v>0.6</v>
      </c>
      <c r="H5" s="6">
        <v>0.8</v>
      </c>
      <c r="I5" s="6">
        <v>0.15</v>
      </c>
    </row>
    <row r="6" spans="1:9" x14ac:dyDescent="0.3">
      <c r="A6" s="3" t="s">
        <v>124</v>
      </c>
      <c r="B6" s="52">
        <v>10</v>
      </c>
      <c r="C6" s="52">
        <v>2018</v>
      </c>
      <c r="D6" s="6">
        <v>0.8</v>
      </c>
      <c r="E6" s="5">
        <v>0.7</v>
      </c>
      <c r="F6" s="6">
        <v>0.2</v>
      </c>
      <c r="G6" s="6">
        <v>0.6</v>
      </c>
      <c r="H6" s="6">
        <v>0.85</v>
      </c>
      <c r="I6" s="6">
        <v>0.15</v>
      </c>
    </row>
    <row r="7" spans="1:9" x14ac:dyDescent="0.3">
      <c r="C7" s="98"/>
      <c r="D7" s="17"/>
    </row>
  </sheetData>
  <mergeCells count="3">
    <mergeCell ref="A1:A2"/>
    <mergeCell ref="B1:B2"/>
    <mergeCell ref="C1:C2"/>
  </mergeCells>
  <pageMargins left="0.7" right="0.7" top="0.75" bottom="0.75" header="0.3" footer="0.3"/>
  <pageSetup paperSize="9" scale="4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1"/>
  <sheetViews>
    <sheetView workbookViewId="0">
      <pane ySplit="1" topLeftCell="A110" activePane="bottomLeft" state="frozen"/>
      <selection pane="bottomLeft" activeCell="F140" sqref="F140"/>
    </sheetView>
  </sheetViews>
  <sheetFormatPr baseColWidth="10" defaultRowHeight="14.4" x14ac:dyDescent="0.3"/>
  <cols>
    <col min="1" max="1" width="74.33203125" style="106" bestFit="1" customWidth="1"/>
    <col min="2" max="2" width="14.6640625" style="106" bestFit="1" customWidth="1"/>
    <col min="3" max="5" width="14.6640625" style="106" customWidth="1"/>
    <col min="6" max="6" width="14.44140625" style="106" bestFit="1" customWidth="1"/>
    <col min="7" max="7" width="11.88671875" style="106" bestFit="1" customWidth="1"/>
  </cols>
  <sheetData>
    <row r="1" spans="1:6" ht="15" customHeight="1" thickBot="1" x14ac:dyDescent="0.35">
      <c r="B1" s="47" t="s">
        <v>125</v>
      </c>
      <c r="C1" s="47" t="s">
        <v>126</v>
      </c>
      <c r="D1" s="47" t="s">
        <v>127</v>
      </c>
      <c r="E1" s="47" t="s">
        <v>128</v>
      </c>
      <c r="F1" s="47" t="s">
        <v>129</v>
      </c>
    </row>
    <row r="2" spans="1:6" x14ac:dyDescent="0.3">
      <c r="A2" s="257" t="s">
        <v>130</v>
      </c>
      <c r="B2" s="258"/>
      <c r="C2" s="55"/>
      <c r="D2" s="55"/>
      <c r="E2" s="55"/>
    </row>
    <row r="3" spans="1:6" x14ac:dyDescent="0.3">
      <c r="A3" t="s">
        <v>131</v>
      </c>
      <c r="B3" s="56">
        <v>8914088</v>
      </c>
      <c r="C3" s="56">
        <v>741011</v>
      </c>
      <c r="D3" s="56">
        <v>16946296</v>
      </c>
      <c r="E3" s="56">
        <v>26601395</v>
      </c>
      <c r="F3" s="89">
        <v>3320392</v>
      </c>
    </row>
    <row r="4" spans="1:6" x14ac:dyDescent="0.3">
      <c r="A4" s="1" t="s">
        <v>132</v>
      </c>
      <c r="B4" s="56">
        <v>661590</v>
      </c>
      <c r="C4" s="56">
        <v>82331</v>
      </c>
      <c r="D4" s="56">
        <v>699815</v>
      </c>
      <c r="E4" s="56">
        <v>1443736</v>
      </c>
      <c r="F4" s="89">
        <v>264636</v>
      </c>
    </row>
    <row r="5" spans="1:6" x14ac:dyDescent="0.3">
      <c r="A5" t="s">
        <v>133</v>
      </c>
      <c r="B5" s="56">
        <v>0</v>
      </c>
      <c r="C5" s="56">
        <v>0</v>
      </c>
      <c r="D5" s="56">
        <v>0</v>
      </c>
      <c r="E5" s="56">
        <v>0</v>
      </c>
      <c r="F5" s="89">
        <v>0</v>
      </c>
    </row>
    <row r="6" spans="1:6" x14ac:dyDescent="0.3">
      <c r="A6" t="s">
        <v>134</v>
      </c>
      <c r="B6" s="56">
        <v>0</v>
      </c>
      <c r="C6" s="56">
        <v>0</v>
      </c>
      <c r="D6" s="56">
        <v>0</v>
      </c>
      <c r="E6" s="56">
        <v>0</v>
      </c>
      <c r="F6" s="89">
        <v>0</v>
      </c>
    </row>
    <row r="7" spans="1:6" x14ac:dyDescent="0.3">
      <c r="A7" t="s">
        <v>135</v>
      </c>
      <c r="B7" s="56">
        <v>0</v>
      </c>
      <c r="C7" s="56">
        <v>0</v>
      </c>
      <c r="D7" s="56">
        <v>0</v>
      </c>
      <c r="E7" s="56">
        <v>0</v>
      </c>
      <c r="F7" s="89">
        <v>0</v>
      </c>
    </row>
    <row r="8" spans="1:6" x14ac:dyDescent="0.3">
      <c r="A8" t="s">
        <v>136</v>
      </c>
      <c r="B8" s="56">
        <v>0</v>
      </c>
      <c r="C8" s="56">
        <v>0</v>
      </c>
      <c r="D8" s="56">
        <v>0</v>
      </c>
      <c r="E8" s="56">
        <v>0</v>
      </c>
      <c r="F8" s="89">
        <v>0</v>
      </c>
    </row>
    <row r="9" spans="1:6" x14ac:dyDescent="0.3">
      <c r="A9" s="14" t="s">
        <v>137</v>
      </c>
      <c r="B9" s="56">
        <v>300000</v>
      </c>
      <c r="C9" s="56">
        <v>0</v>
      </c>
      <c r="D9" s="56">
        <v>300000</v>
      </c>
      <c r="E9" s="56">
        <v>600000</v>
      </c>
      <c r="F9" s="89">
        <v>450000</v>
      </c>
    </row>
    <row r="10" spans="1:6" x14ac:dyDescent="0.3">
      <c r="A10" t="s">
        <v>138</v>
      </c>
      <c r="B10" s="56">
        <v>418514</v>
      </c>
      <c r="C10" s="56">
        <v>120291</v>
      </c>
      <c r="D10" s="56">
        <v>1799623</v>
      </c>
      <c r="E10" s="56">
        <v>2338428</v>
      </c>
      <c r="F10" s="89">
        <v>130765</v>
      </c>
    </row>
    <row r="11" spans="1:6" x14ac:dyDescent="0.3">
      <c r="A11" t="s">
        <v>139</v>
      </c>
      <c r="B11" s="56">
        <v>797976</v>
      </c>
      <c r="C11" s="56">
        <v>68611</v>
      </c>
      <c r="D11" s="56">
        <v>1944942</v>
      </c>
      <c r="E11" s="56">
        <v>2811529</v>
      </c>
      <c r="F11" s="89">
        <v>298753</v>
      </c>
    </row>
    <row r="12" spans="1:6" x14ac:dyDescent="0.3">
      <c r="A12" t="s">
        <v>140</v>
      </c>
      <c r="B12" s="56">
        <v>801652</v>
      </c>
      <c r="C12" s="56">
        <v>107572</v>
      </c>
      <c r="D12" s="56">
        <v>1444942</v>
      </c>
      <c r="E12" s="56">
        <v>2354166</v>
      </c>
      <c r="F12" s="89">
        <v>298753</v>
      </c>
    </row>
    <row r="13" spans="1:6" x14ac:dyDescent="0.3">
      <c r="A13" t="s">
        <v>141</v>
      </c>
      <c r="B13" s="56">
        <v>90770</v>
      </c>
      <c r="C13" s="56">
        <v>0</v>
      </c>
      <c r="D13" s="56">
        <v>173400</v>
      </c>
      <c r="E13" s="56">
        <v>264170</v>
      </c>
      <c r="F13" s="89">
        <v>35853</v>
      </c>
    </row>
    <row r="14" spans="1:6" x14ac:dyDescent="0.3">
      <c r="A14" t="s">
        <v>142</v>
      </c>
      <c r="B14" s="56">
        <v>254300</v>
      </c>
      <c r="C14" s="56">
        <v>0</v>
      </c>
      <c r="D14" s="56">
        <v>500200</v>
      </c>
      <c r="E14" s="56">
        <v>754500</v>
      </c>
      <c r="F14" s="89">
        <v>99800</v>
      </c>
    </row>
    <row r="15" spans="1:6" x14ac:dyDescent="0.3">
      <c r="A15" t="s">
        <v>143</v>
      </c>
      <c r="B15" s="56">
        <v>169700</v>
      </c>
      <c r="C15" s="56">
        <v>0</v>
      </c>
      <c r="D15" s="56">
        <v>333700</v>
      </c>
      <c r="E15" s="56">
        <v>503400</v>
      </c>
      <c r="F15" s="89">
        <v>66600</v>
      </c>
    </row>
    <row r="16" spans="1:6" x14ac:dyDescent="0.3">
      <c r="A16" t="s">
        <v>144</v>
      </c>
      <c r="B16" s="56">
        <v>94800</v>
      </c>
      <c r="C16" s="56">
        <v>0</v>
      </c>
      <c r="D16" s="56">
        <v>87500</v>
      </c>
      <c r="E16" s="56">
        <v>182300</v>
      </c>
      <c r="F16" s="89">
        <v>17500</v>
      </c>
    </row>
    <row r="17" spans="1:6" x14ac:dyDescent="0.3">
      <c r="A17" t="s">
        <v>145</v>
      </c>
      <c r="B17" s="56">
        <v>718200</v>
      </c>
      <c r="C17" s="56">
        <v>0</v>
      </c>
      <c r="D17" s="56">
        <v>1416000</v>
      </c>
      <c r="E17" s="56">
        <v>2134200</v>
      </c>
      <c r="F17" s="89">
        <v>281900</v>
      </c>
    </row>
    <row r="18" spans="1:6" x14ac:dyDescent="0.3">
      <c r="A18" t="s">
        <v>146</v>
      </c>
      <c r="B18" s="56">
        <v>1014300</v>
      </c>
      <c r="C18" s="56">
        <v>0</v>
      </c>
      <c r="D18" s="56">
        <v>1885500</v>
      </c>
      <c r="E18" s="56">
        <v>2899800</v>
      </c>
      <c r="F18" s="89">
        <v>398200</v>
      </c>
    </row>
    <row r="19" spans="1:6" x14ac:dyDescent="0.3">
      <c r="A19" t="s">
        <v>147</v>
      </c>
      <c r="B19" s="56">
        <v>338800</v>
      </c>
      <c r="C19" s="56">
        <v>0</v>
      </c>
      <c r="D19" s="56">
        <v>666800</v>
      </c>
      <c r="E19" s="56">
        <v>1005600</v>
      </c>
      <c r="F19" s="89">
        <v>133000</v>
      </c>
    </row>
    <row r="20" spans="1:6" x14ac:dyDescent="0.3">
      <c r="A20" s="1" t="s">
        <v>148</v>
      </c>
      <c r="B20" s="56">
        <v>0</v>
      </c>
      <c r="C20" s="56">
        <v>0</v>
      </c>
      <c r="D20" s="56">
        <v>0</v>
      </c>
      <c r="E20" s="56">
        <v>0</v>
      </c>
      <c r="F20" s="89">
        <v>0</v>
      </c>
    </row>
    <row r="21" spans="1:6" x14ac:dyDescent="0.3">
      <c r="A21" s="57" t="s">
        <v>149</v>
      </c>
      <c r="B21" s="57">
        <v>14574690</v>
      </c>
      <c r="C21" s="57">
        <v>1119816</v>
      </c>
      <c r="D21" s="57">
        <v>28198718</v>
      </c>
      <c r="E21" s="57">
        <v>43893224</v>
      </c>
      <c r="F21" s="57">
        <v>5796152</v>
      </c>
    </row>
    <row r="22" spans="1:6" x14ac:dyDescent="0.3">
      <c r="A22" s="56"/>
      <c r="B22" s="56"/>
      <c r="C22" s="56"/>
      <c r="D22" s="56"/>
      <c r="E22" s="56"/>
    </row>
    <row r="23" spans="1:6" x14ac:dyDescent="0.3">
      <c r="A23" s="259" t="s">
        <v>150</v>
      </c>
      <c r="B23" s="249"/>
      <c r="C23" s="55"/>
      <c r="D23" s="55"/>
      <c r="E23" s="55"/>
    </row>
    <row r="24" spans="1:6" x14ac:dyDescent="0.3">
      <c r="A24" s="1" t="s">
        <v>151</v>
      </c>
      <c r="B24" s="56">
        <v>2148748</v>
      </c>
      <c r="C24" s="56">
        <v>0</v>
      </c>
      <c r="D24" s="56">
        <v>14467814</v>
      </c>
      <c r="E24" s="56">
        <v>16616562</v>
      </c>
      <c r="F24" s="89">
        <v>0</v>
      </c>
    </row>
    <row r="25" spans="1:6" x14ac:dyDescent="0.3">
      <c r="A25" s="1" t="s">
        <v>152</v>
      </c>
      <c r="B25" s="56">
        <v>0</v>
      </c>
      <c r="C25" s="56">
        <v>0</v>
      </c>
      <c r="D25" s="56">
        <v>0</v>
      </c>
      <c r="E25" s="56">
        <v>0</v>
      </c>
      <c r="F25" s="89">
        <v>0</v>
      </c>
    </row>
    <row r="26" spans="1:6" x14ac:dyDescent="0.3">
      <c r="A26" s="1" t="s">
        <v>153</v>
      </c>
      <c r="B26" s="56">
        <v>153564</v>
      </c>
      <c r="C26" s="56">
        <v>82557</v>
      </c>
      <c r="D26" s="56">
        <v>235100</v>
      </c>
      <c r="E26" s="56">
        <v>471221</v>
      </c>
      <c r="F26" s="89">
        <v>0</v>
      </c>
    </row>
    <row r="27" spans="1:6" x14ac:dyDescent="0.3">
      <c r="A27" s="1" t="s">
        <v>154</v>
      </c>
      <c r="B27" s="56">
        <v>103630</v>
      </c>
      <c r="C27" s="56">
        <v>136830</v>
      </c>
      <c r="D27" s="56">
        <v>526587</v>
      </c>
      <c r="E27" s="56">
        <v>767047</v>
      </c>
      <c r="F27" s="89">
        <v>0</v>
      </c>
    </row>
    <row r="28" spans="1:6" x14ac:dyDescent="0.3">
      <c r="A28" s="1" t="s">
        <v>155</v>
      </c>
      <c r="B28" s="56">
        <v>1743200</v>
      </c>
      <c r="C28" s="56">
        <v>398910</v>
      </c>
      <c r="D28" s="56">
        <v>1293273</v>
      </c>
      <c r="E28" s="56">
        <v>3435383</v>
      </c>
      <c r="F28" s="89">
        <v>0</v>
      </c>
    </row>
    <row r="29" spans="1:6" x14ac:dyDescent="0.3">
      <c r="A29" s="1" t="s">
        <v>156</v>
      </c>
      <c r="B29" s="56">
        <v>172207</v>
      </c>
      <c r="C29" s="56">
        <v>0</v>
      </c>
      <c r="D29" s="56">
        <v>2016807</v>
      </c>
      <c r="E29" s="56">
        <v>2189014</v>
      </c>
      <c r="F29" s="89">
        <v>0</v>
      </c>
    </row>
    <row r="30" spans="1:6" x14ac:dyDescent="0.3">
      <c r="A30" s="1" t="s">
        <v>157</v>
      </c>
      <c r="B30" s="56">
        <v>1124760</v>
      </c>
      <c r="C30" s="56">
        <v>693397</v>
      </c>
      <c r="D30" s="56">
        <v>3487215</v>
      </c>
      <c r="E30" s="56">
        <v>5305372</v>
      </c>
      <c r="F30" s="89">
        <v>0</v>
      </c>
    </row>
    <row r="31" spans="1:6" x14ac:dyDescent="0.3">
      <c r="A31" s="1" t="s">
        <v>158</v>
      </c>
      <c r="B31" s="56">
        <v>200000</v>
      </c>
      <c r="C31" s="56">
        <v>0</v>
      </c>
      <c r="D31" s="56">
        <v>0</v>
      </c>
      <c r="E31" s="56">
        <v>200000</v>
      </c>
      <c r="F31" s="89">
        <v>0</v>
      </c>
    </row>
    <row r="32" spans="1:6" x14ac:dyDescent="0.3">
      <c r="A32" s="1" t="s">
        <v>159</v>
      </c>
      <c r="B32" s="56">
        <v>3330</v>
      </c>
      <c r="C32" s="56">
        <v>19686</v>
      </c>
      <c r="D32" s="56">
        <v>13056</v>
      </c>
      <c r="E32" s="56">
        <v>36072</v>
      </c>
      <c r="F32" s="89">
        <v>0</v>
      </c>
    </row>
    <row r="33" spans="1:6" x14ac:dyDescent="0.3">
      <c r="A33" s="1" t="s">
        <v>160</v>
      </c>
      <c r="B33" s="56">
        <v>5500</v>
      </c>
      <c r="C33" s="56">
        <v>0</v>
      </c>
      <c r="D33" s="56">
        <v>0</v>
      </c>
      <c r="E33" s="56">
        <v>5500</v>
      </c>
      <c r="F33" s="89">
        <v>0</v>
      </c>
    </row>
    <row r="34" spans="1:6" x14ac:dyDescent="0.3">
      <c r="A34" s="1" t="s">
        <v>161</v>
      </c>
      <c r="B34" s="56">
        <v>1726204</v>
      </c>
      <c r="C34" s="56">
        <v>0</v>
      </c>
      <c r="D34" s="56">
        <v>200559</v>
      </c>
      <c r="E34" s="56">
        <v>1926763</v>
      </c>
      <c r="F34" s="89">
        <v>0</v>
      </c>
    </row>
    <row r="35" spans="1:6" x14ac:dyDescent="0.3">
      <c r="A35" s="1" t="s">
        <v>162</v>
      </c>
      <c r="B35" s="56">
        <v>0</v>
      </c>
      <c r="C35" s="56">
        <v>0</v>
      </c>
      <c r="D35" s="56">
        <v>15400</v>
      </c>
      <c r="E35" s="56">
        <v>15400</v>
      </c>
      <c r="F35" s="89">
        <v>1000000</v>
      </c>
    </row>
    <row r="36" spans="1:6" x14ac:dyDescent="0.3">
      <c r="A36" s="1" t="s">
        <v>163</v>
      </c>
      <c r="B36" s="56">
        <v>0</v>
      </c>
      <c r="C36" s="56">
        <v>0</v>
      </c>
      <c r="D36" s="56">
        <v>0</v>
      </c>
      <c r="E36" s="56">
        <v>0</v>
      </c>
      <c r="F36" s="89">
        <v>0</v>
      </c>
    </row>
    <row r="37" spans="1:6" x14ac:dyDescent="0.3">
      <c r="A37" s="1" t="s">
        <v>164</v>
      </c>
      <c r="B37" s="56">
        <v>869286</v>
      </c>
      <c r="C37" s="56">
        <v>220000</v>
      </c>
      <c r="D37" s="56">
        <v>234491</v>
      </c>
      <c r="E37" s="56">
        <v>1323777</v>
      </c>
      <c r="F37" s="89">
        <v>0</v>
      </c>
    </row>
    <row r="38" spans="1:6" x14ac:dyDescent="0.3">
      <c r="A38" s="1" t="s">
        <v>165</v>
      </c>
      <c r="B38" s="56">
        <v>0</v>
      </c>
      <c r="C38" s="56">
        <v>0</v>
      </c>
      <c r="D38" s="56">
        <v>230000</v>
      </c>
      <c r="E38" s="56">
        <v>230000</v>
      </c>
      <c r="F38" s="89">
        <v>0</v>
      </c>
    </row>
    <row r="39" spans="1:6" x14ac:dyDescent="0.3">
      <c r="A39" s="1" t="s">
        <v>166</v>
      </c>
      <c r="B39" s="56">
        <v>0</v>
      </c>
      <c r="C39" s="56">
        <v>0</v>
      </c>
      <c r="D39" s="56">
        <v>0</v>
      </c>
      <c r="E39" s="56">
        <v>0</v>
      </c>
      <c r="F39" s="89">
        <v>0</v>
      </c>
    </row>
    <row r="40" spans="1:6" x14ac:dyDescent="0.3">
      <c r="A40" s="1" t="s">
        <v>167</v>
      </c>
      <c r="B40" s="56">
        <v>765974</v>
      </c>
      <c r="C40" s="56">
        <v>0</v>
      </c>
      <c r="D40" s="56">
        <v>0</v>
      </c>
      <c r="E40" s="56">
        <v>765974</v>
      </c>
      <c r="F40" s="89">
        <v>0</v>
      </c>
    </row>
    <row r="41" spans="1:6" x14ac:dyDescent="0.3">
      <c r="A41" s="1" t="s">
        <v>168</v>
      </c>
      <c r="B41" s="56">
        <v>0</v>
      </c>
      <c r="C41" s="56">
        <v>2665904</v>
      </c>
      <c r="D41" s="56">
        <v>40000</v>
      </c>
      <c r="E41" s="56">
        <v>2705904</v>
      </c>
      <c r="F41" s="89">
        <v>0</v>
      </c>
    </row>
    <row r="42" spans="1:6" x14ac:dyDescent="0.3">
      <c r="A42" s="1" t="s">
        <v>169</v>
      </c>
      <c r="B42" s="56">
        <v>626000</v>
      </c>
      <c r="C42" s="56">
        <v>0</v>
      </c>
      <c r="D42" s="56">
        <v>380000</v>
      </c>
      <c r="E42" s="56">
        <v>1006000</v>
      </c>
      <c r="F42" s="89">
        <v>0</v>
      </c>
    </row>
    <row r="43" spans="1:6" x14ac:dyDescent="0.3">
      <c r="A43" s="1" t="s">
        <v>170</v>
      </c>
      <c r="B43" s="56">
        <v>976290</v>
      </c>
      <c r="C43" s="56">
        <v>0</v>
      </c>
      <c r="D43" s="56">
        <v>0</v>
      </c>
      <c r="E43" s="56">
        <v>976290</v>
      </c>
      <c r="F43" s="89">
        <v>0</v>
      </c>
    </row>
    <row r="44" spans="1:6" x14ac:dyDescent="0.3">
      <c r="A44" s="1" t="s">
        <v>171</v>
      </c>
      <c r="B44" s="56">
        <v>0</v>
      </c>
      <c r="C44" s="56">
        <v>0</v>
      </c>
      <c r="D44" s="56">
        <v>0</v>
      </c>
      <c r="E44" s="56">
        <v>0</v>
      </c>
      <c r="F44" s="89">
        <v>0</v>
      </c>
    </row>
    <row r="45" spans="1:6" x14ac:dyDescent="0.3">
      <c r="A45" s="1" t="s">
        <v>172</v>
      </c>
      <c r="B45" s="56">
        <v>1083942</v>
      </c>
      <c r="C45" s="56">
        <v>18500</v>
      </c>
      <c r="D45" s="56">
        <v>1285230</v>
      </c>
      <c r="E45" s="56">
        <v>2387672</v>
      </c>
      <c r="F45" s="89">
        <v>0</v>
      </c>
    </row>
    <row r="46" spans="1:6" x14ac:dyDescent="0.3">
      <c r="A46" s="1" t="s">
        <v>173</v>
      </c>
      <c r="B46" s="56">
        <v>1036100</v>
      </c>
      <c r="C46" s="56">
        <v>160000</v>
      </c>
      <c r="D46" s="56">
        <v>1160300</v>
      </c>
      <c r="E46" s="56">
        <v>2356400</v>
      </c>
      <c r="F46" s="89">
        <v>75000</v>
      </c>
    </row>
    <row r="47" spans="1:6" x14ac:dyDescent="0.3">
      <c r="A47" s="1" t="s">
        <v>174</v>
      </c>
      <c r="B47" s="56">
        <v>0</v>
      </c>
      <c r="C47" s="56">
        <v>0</v>
      </c>
      <c r="D47" s="56">
        <v>835244</v>
      </c>
      <c r="E47" s="56">
        <v>835244</v>
      </c>
      <c r="F47" s="89">
        <v>0</v>
      </c>
    </row>
    <row r="48" spans="1:6" x14ac:dyDescent="0.3">
      <c r="A48" s="1" t="s">
        <v>175</v>
      </c>
      <c r="B48" s="56">
        <v>0</v>
      </c>
      <c r="C48" s="56">
        <v>0</v>
      </c>
      <c r="D48" s="56">
        <v>0</v>
      </c>
      <c r="E48" s="56">
        <v>0</v>
      </c>
      <c r="F48" s="89">
        <v>0</v>
      </c>
    </row>
    <row r="49" spans="1:6" x14ac:dyDescent="0.3">
      <c r="A49" s="1" t="s">
        <v>176</v>
      </c>
      <c r="B49" s="56">
        <v>0</v>
      </c>
      <c r="C49" s="56">
        <v>0</v>
      </c>
      <c r="D49" s="56">
        <v>0</v>
      </c>
      <c r="E49" s="56">
        <v>0</v>
      </c>
      <c r="F49" s="89">
        <v>33000</v>
      </c>
    </row>
    <row r="50" spans="1:6" x14ac:dyDescent="0.3">
      <c r="A50" s="1" t="s">
        <v>177</v>
      </c>
      <c r="B50" s="56">
        <v>0</v>
      </c>
      <c r="C50" s="56">
        <v>0</v>
      </c>
      <c r="D50" s="56">
        <v>0</v>
      </c>
      <c r="E50" s="56">
        <v>0</v>
      </c>
      <c r="F50" s="89">
        <v>0</v>
      </c>
    </row>
    <row r="51" spans="1:6" x14ac:dyDescent="0.3">
      <c r="A51" s="1" t="s">
        <v>178</v>
      </c>
      <c r="B51" s="56">
        <v>0</v>
      </c>
      <c r="C51" s="56">
        <v>0</v>
      </c>
      <c r="D51" s="56">
        <v>0</v>
      </c>
      <c r="E51" s="56">
        <v>0</v>
      </c>
      <c r="F51" s="89">
        <v>0</v>
      </c>
    </row>
    <row r="52" spans="1:6" x14ac:dyDescent="0.3">
      <c r="A52" s="1" t="s">
        <v>179</v>
      </c>
      <c r="B52" s="56">
        <v>0</v>
      </c>
      <c r="C52" s="56">
        <v>0</v>
      </c>
      <c r="D52" s="56">
        <v>0</v>
      </c>
      <c r="E52" s="56">
        <v>0</v>
      </c>
      <c r="F52" s="89">
        <v>0</v>
      </c>
    </row>
    <row r="53" spans="1:6" x14ac:dyDescent="0.3">
      <c r="A53" s="1" t="s">
        <v>180</v>
      </c>
      <c r="B53" s="56">
        <v>0</v>
      </c>
      <c r="C53" s="56">
        <v>277130</v>
      </c>
      <c r="D53" s="56">
        <v>17742</v>
      </c>
      <c r="E53" s="56">
        <v>294872</v>
      </c>
      <c r="F53" s="89">
        <v>0</v>
      </c>
    </row>
    <row r="54" spans="1:6" x14ac:dyDescent="0.3">
      <c r="A54" s="1" t="s">
        <v>181</v>
      </c>
      <c r="B54" s="56">
        <v>2045184.07</v>
      </c>
      <c r="C54" s="56">
        <v>428488.83</v>
      </c>
      <c r="D54" s="56">
        <v>2558430.71</v>
      </c>
      <c r="E54" s="56">
        <v>5032103.6099999994</v>
      </c>
      <c r="F54" s="89">
        <v>11840</v>
      </c>
    </row>
    <row r="55" spans="1:6" x14ac:dyDescent="0.3">
      <c r="A55" s="1" t="s">
        <v>182</v>
      </c>
      <c r="B55" s="56">
        <v>35484.949999999997</v>
      </c>
      <c r="C55" s="56">
        <v>0</v>
      </c>
      <c r="D55" s="56">
        <v>0</v>
      </c>
      <c r="E55" s="56">
        <v>35484.949999999997</v>
      </c>
      <c r="F55" s="89">
        <v>45.69</v>
      </c>
    </row>
    <row r="56" spans="1:6" x14ac:dyDescent="0.3">
      <c r="A56" s="1" t="s">
        <v>183</v>
      </c>
      <c r="B56" s="56">
        <v>564552.68999999994</v>
      </c>
      <c r="C56" s="56">
        <v>174645.54</v>
      </c>
      <c r="D56" s="56">
        <v>1194151</v>
      </c>
      <c r="E56" s="56">
        <v>1933349.23</v>
      </c>
      <c r="F56" s="89">
        <v>263898.58</v>
      </c>
    </row>
    <row r="57" spans="1:6" x14ac:dyDescent="0.3">
      <c r="A57" s="1" t="s">
        <v>184</v>
      </c>
      <c r="B57" s="56">
        <v>1387641</v>
      </c>
      <c r="C57" s="56">
        <v>275656</v>
      </c>
      <c r="D57" s="56">
        <v>1119976</v>
      </c>
      <c r="E57" s="56">
        <v>2783273</v>
      </c>
      <c r="F57" s="89">
        <v>169150</v>
      </c>
    </row>
    <row r="58" spans="1:6" x14ac:dyDescent="0.3">
      <c r="A58" s="1" t="s">
        <v>185</v>
      </c>
      <c r="B58" s="56">
        <v>0</v>
      </c>
      <c r="C58" s="56">
        <v>0</v>
      </c>
      <c r="D58" s="56">
        <v>0</v>
      </c>
      <c r="E58" s="56">
        <v>0</v>
      </c>
      <c r="F58" s="89">
        <v>0</v>
      </c>
    </row>
    <row r="59" spans="1:6" x14ac:dyDescent="0.3">
      <c r="A59" s="1" t="s">
        <v>186</v>
      </c>
      <c r="B59" s="56">
        <v>0</v>
      </c>
      <c r="C59" s="56">
        <v>0</v>
      </c>
      <c r="D59" s="56">
        <v>0</v>
      </c>
      <c r="E59" s="56">
        <v>0</v>
      </c>
      <c r="F59" s="89">
        <v>0</v>
      </c>
    </row>
    <row r="60" spans="1:6" x14ac:dyDescent="0.3">
      <c r="A60" s="1" t="s">
        <v>187</v>
      </c>
      <c r="B60" s="56">
        <v>0</v>
      </c>
      <c r="C60" s="56">
        <v>0</v>
      </c>
      <c r="D60" s="56">
        <v>55800</v>
      </c>
      <c r="E60" s="56">
        <v>55800</v>
      </c>
      <c r="F60" s="89">
        <v>0</v>
      </c>
    </row>
    <row r="61" spans="1:6" x14ac:dyDescent="0.3">
      <c r="A61" s="1" t="s">
        <v>188</v>
      </c>
      <c r="B61" s="56">
        <v>107815</v>
      </c>
      <c r="C61" s="56">
        <v>0</v>
      </c>
      <c r="D61" s="56">
        <v>0</v>
      </c>
      <c r="E61" s="56">
        <v>107815</v>
      </c>
      <c r="F61" s="89">
        <v>0</v>
      </c>
    </row>
    <row r="62" spans="1:6" x14ac:dyDescent="0.3">
      <c r="A62" s="1" t="s">
        <v>189</v>
      </c>
      <c r="B62" s="56">
        <v>1868288</v>
      </c>
      <c r="C62" s="56">
        <v>0</v>
      </c>
      <c r="D62" s="56">
        <v>170000</v>
      </c>
      <c r="E62" s="56">
        <v>2038288</v>
      </c>
      <c r="F62" s="89">
        <v>0</v>
      </c>
    </row>
    <row r="63" spans="1:6" x14ac:dyDescent="0.3">
      <c r="A63" s="1" t="s">
        <v>190</v>
      </c>
      <c r="B63" s="56">
        <v>0</v>
      </c>
      <c r="C63" s="56">
        <v>0</v>
      </c>
      <c r="D63" s="56">
        <v>0</v>
      </c>
      <c r="E63" s="56">
        <v>0</v>
      </c>
      <c r="F63" s="89">
        <v>0</v>
      </c>
    </row>
    <row r="64" spans="1:6" x14ac:dyDescent="0.3">
      <c r="A64" s="1" t="s">
        <v>191</v>
      </c>
      <c r="B64" s="56">
        <v>2</v>
      </c>
      <c r="C64" s="56">
        <v>717</v>
      </c>
      <c r="D64" s="56">
        <v>0</v>
      </c>
      <c r="E64" s="56">
        <v>719</v>
      </c>
      <c r="F64" s="89">
        <v>0</v>
      </c>
    </row>
    <row r="65" spans="1:6" x14ac:dyDescent="0.3">
      <c r="A65" s="1" t="s">
        <v>192</v>
      </c>
      <c r="B65" s="56">
        <v>745000</v>
      </c>
      <c r="C65" s="56">
        <v>66000</v>
      </c>
      <c r="D65" s="56">
        <v>1000000</v>
      </c>
      <c r="E65" s="56">
        <v>1811000</v>
      </c>
      <c r="F65" s="89">
        <v>0</v>
      </c>
    </row>
    <row r="66" spans="1:6" x14ac:dyDescent="0.3">
      <c r="A66" s="1" t="s">
        <v>193</v>
      </c>
      <c r="B66" s="56">
        <v>0</v>
      </c>
      <c r="C66" s="56">
        <v>9000</v>
      </c>
      <c r="D66" s="56">
        <v>0</v>
      </c>
      <c r="E66" s="56">
        <v>9000</v>
      </c>
      <c r="F66" s="89">
        <v>0</v>
      </c>
    </row>
    <row r="67" spans="1:6" x14ac:dyDescent="0.3">
      <c r="A67" s="1" t="s">
        <v>194</v>
      </c>
      <c r="B67" s="56">
        <v>1413343</v>
      </c>
      <c r="C67" s="56">
        <v>35023</v>
      </c>
      <c r="D67" s="56">
        <v>741000</v>
      </c>
      <c r="E67" s="56">
        <v>2189366</v>
      </c>
      <c r="F67" s="89">
        <v>0</v>
      </c>
    </row>
    <row r="68" spans="1:6" x14ac:dyDescent="0.3">
      <c r="A68" s="1" t="s">
        <v>195</v>
      </c>
      <c r="B68" s="56">
        <v>0</v>
      </c>
      <c r="C68" s="56">
        <v>0</v>
      </c>
      <c r="D68" s="56">
        <v>167125</v>
      </c>
      <c r="E68" s="56">
        <v>167125</v>
      </c>
      <c r="F68" s="89">
        <v>0</v>
      </c>
    </row>
    <row r="69" spans="1:6" x14ac:dyDescent="0.3">
      <c r="A69" s="1" t="s">
        <v>196</v>
      </c>
      <c r="B69" s="56">
        <v>0</v>
      </c>
      <c r="C69" s="56">
        <v>0</v>
      </c>
      <c r="D69" s="56">
        <v>0</v>
      </c>
      <c r="E69" s="56">
        <v>0</v>
      </c>
      <c r="F69" s="89">
        <v>0</v>
      </c>
    </row>
    <row r="70" spans="1:6" x14ac:dyDescent="0.3">
      <c r="A70" s="1" t="s">
        <v>197</v>
      </c>
      <c r="B70" s="56">
        <v>110588</v>
      </c>
      <c r="C70" s="56">
        <v>0</v>
      </c>
      <c r="D70" s="56">
        <v>0</v>
      </c>
      <c r="E70" s="56">
        <v>110588</v>
      </c>
      <c r="F70" s="89">
        <v>0</v>
      </c>
    </row>
    <row r="71" spans="1:6" x14ac:dyDescent="0.3">
      <c r="A71" s="14" t="s">
        <v>198</v>
      </c>
      <c r="B71" s="56">
        <v>0</v>
      </c>
      <c r="C71" s="56">
        <v>0</v>
      </c>
      <c r="D71" s="56">
        <v>330929</v>
      </c>
      <c r="E71" s="56">
        <v>330929</v>
      </c>
      <c r="F71" s="89">
        <v>0</v>
      </c>
    </row>
    <row r="72" spans="1:6" x14ac:dyDescent="0.3">
      <c r="A72" s="28" t="s">
        <v>199</v>
      </c>
      <c r="B72" s="56">
        <v>353860</v>
      </c>
      <c r="C72" s="56">
        <v>0</v>
      </c>
      <c r="D72" s="56">
        <v>341716</v>
      </c>
      <c r="E72" s="56">
        <v>695576</v>
      </c>
      <c r="F72" s="89">
        <v>0</v>
      </c>
    </row>
    <row r="73" spans="1:6" x14ac:dyDescent="0.3">
      <c r="A73" s="14" t="s">
        <v>200</v>
      </c>
      <c r="B73" s="56">
        <v>0</v>
      </c>
      <c r="C73" s="56">
        <v>0</v>
      </c>
      <c r="D73" s="56">
        <v>0</v>
      </c>
      <c r="E73" s="56">
        <v>0</v>
      </c>
      <c r="F73" s="89">
        <v>0</v>
      </c>
    </row>
    <row r="74" spans="1:6" x14ac:dyDescent="0.3">
      <c r="A74" s="14" t="s">
        <v>201</v>
      </c>
      <c r="B74" s="56">
        <v>0</v>
      </c>
      <c r="C74" s="56">
        <v>0</v>
      </c>
      <c r="D74" s="56">
        <v>0</v>
      </c>
      <c r="E74" s="56">
        <v>0</v>
      </c>
      <c r="F74" s="89">
        <v>0</v>
      </c>
    </row>
    <row r="75" spans="1:6" x14ac:dyDescent="0.3">
      <c r="A75" s="57" t="s">
        <v>149</v>
      </c>
      <c r="B75" s="57">
        <v>21370493.710000001</v>
      </c>
      <c r="C75" s="57">
        <v>5662444.3700000001</v>
      </c>
      <c r="D75" s="57">
        <v>34117945.710000001</v>
      </c>
      <c r="E75" s="57">
        <v>61150883.789999999</v>
      </c>
      <c r="F75" s="57">
        <v>1552934.27</v>
      </c>
    </row>
    <row r="76" spans="1:6" x14ac:dyDescent="0.3">
      <c r="A76" s="58"/>
      <c r="B76" s="58"/>
      <c r="C76" s="58"/>
      <c r="D76" s="58"/>
      <c r="E76" s="58"/>
    </row>
    <row r="77" spans="1:6" ht="15" customHeight="1" thickBot="1" x14ac:dyDescent="0.35">
      <c r="A77" s="59" t="s">
        <v>202</v>
      </c>
      <c r="B77" s="59">
        <v>35945183.710000001</v>
      </c>
      <c r="C77" s="57"/>
      <c r="D77" s="57"/>
      <c r="E77" s="57"/>
    </row>
    <row r="78" spans="1:6" ht="15" customHeight="1" thickBot="1" x14ac:dyDescent="0.35">
      <c r="A78" s="56"/>
      <c r="B78" s="56"/>
      <c r="C78" s="56"/>
      <c r="D78" s="56"/>
      <c r="E78" s="56"/>
    </row>
    <row r="79" spans="1:6" x14ac:dyDescent="0.3">
      <c r="A79" s="60" t="s">
        <v>130</v>
      </c>
      <c r="B79" s="61"/>
      <c r="C79" s="62"/>
      <c r="D79" s="62"/>
      <c r="E79" s="62"/>
      <c r="F79" s="98"/>
    </row>
    <row r="80" spans="1:6" x14ac:dyDescent="0.3">
      <c r="A80" s="63" t="s">
        <v>203</v>
      </c>
      <c r="B80" s="56">
        <v>15846542</v>
      </c>
      <c r="C80" s="56"/>
      <c r="D80" s="56"/>
      <c r="E80" s="56"/>
      <c r="F80" s="89"/>
    </row>
    <row r="81" spans="1:6" x14ac:dyDescent="0.3">
      <c r="A81" s="63" t="s">
        <v>204</v>
      </c>
      <c r="B81" s="56">
        <v>182290</v>
      </c>
      <c r="C81" s="56"/>
      <c r="D81" s="56"/>
      <c r="E81" s="56"/>
      <c r="F81" s="89"/>
    </row>
    <row r="82" spans="1:6" x14ac:dyDescent="0.3">
      <c r="A82" s="63" t="s">
        <v>205</v>
      </c>
      <c r="B82" s="56">
        <v>1305533</v>
      </c>
      <c r="C82" s="56"/>
      <c r="D82" s="56"/>
      <c r="E82" s="56"/>
      <c r="F82" s="89"/>
    </row>
    <row r="83" spans="1:6" x14ac:dyDescent="0.3">
      <c r="A83" s="63" t="s">
        <v>206</v>
      </c>
      <c r="B83" s="56">
        <v>2130634.23</v>
      </c>
      <c r="C83" s="56"/>
      <c r="D83" s="56"/>
      <c r="E83" s="56"/>
      <c r="F83" s="89"/>
    </row>
    <row r="84" spans="1:6" x14ac:dyDescent="0.3">
      <c r="A84" s="63" t="s">
        <v>207</v>
      </c>
      <c r="B84" s="56">
        <v>211672.88</v>
      </c>
      <c r="C84" s="56"/>
      <c r="D84" s="56"/>
      <c r="E84" s="56"/>
      <c r="F84" s="89"/>
    </row>
    <row r="85" spans="1:6" x14ac:dyDescent="0.3">
      <c r="A85" s="63" t="s">
        <v>208</v>
      </c>
      <c r="B85" s="56">
        <v>1826510.89</v>
      </c>
      <c r="C85" s="56"/>
      <c r="D85" s="56"/>
      <c r="E85" s="56"/>
      <c r="F85" s="89"/>
    </row>
    <row r="86" spans="1:6" x14ac:dyDescent="0.3">
      <c r="A86" s="63" t="s">
        <v>209</v>
      </c>
      <c r="B86" s="56">
        <v>3139762</v>
      </c>
      <c r="C86" s="56"/>
      <c r="D86" s="56"/>
      <c r="E86" s="56"/>
      <c r="F86" s="89"/>
    </row>
    <row r="87" spans="1:6" x14ac:dyDescent="0.3">
      <c r="A87" s="63" t="s">
        <v>210</v>
      </c>
      <c r="B87" s="56">
        <v>1000000</v>
      </c>
      <c r="C87" s="56"/>
      <c r="D87" s="56"/>
      <c r="E87" s="56"/>
      <c r="F87" s="89"/>
    </row>
    <row r="88" spans="1:6" x14ac:dyDescent="0.3">
      <c r="A88" s="63" t="s">
        <v>211</v>
      </c>
      <c r="B88" s="56">
        <v>250000</v>
      </c>
      <c r="C88" s="56"/>
      <c r="D88" s="56"/>
      <c r="E88" s="56"/>
      <c r="F88" s="89"/>
    </row>
    <row r="89" spans="1:6" x14ac:dyDescent="0.3">
      <c r="A89" s="63" t="s">
        <v>212</v>
      </c>
      <c r="B89" s="56">
        <v>250000</v>
      </c>
      <c r="C89" s="56"/>
      <c r="D89" s="56"/>
      <c r="E89" s="56"/>
      <c r="F89" s="89"/>
    </row>
    <row r="90" spans="1:6" x14ac:dyDescent="0.3">
      <c r="A90" s="63" t="s">
        <v>213</v>
      </c>
      <c r="B90" s="56">
        <v>976560</v>
      </c>
      <c r="C90" s="56"/>
      <c r="D90" s="56"/>
      <c r="E90" s="56"/>
      <c r="F90" s="89"/>
    </row>
    <row r="91" spans="1:6" x14ac:dyDescent="0.3">
      <c r="A91" s="63" t="s">
        <v>214</v>
      </c>
      <c r="B91" s="56">
        <v>225200</v>
      </c>
      <c r="C91" s="56"/>
      <c r="D91" s="56"/>
      <c r="E91" s="56"/>
      <c r="F91" s="89"/>
    </row>
    <row r="92" spans="1:6" x14ac:dyDescent="0.3">
      <c r="A92" s="63" t="s">
        <v>215</v>
      </c>
      <c r="B92" s="56">
        <v>2230900</v>
      </c>
      <c r="C92" s="56"/>
      <c r="D92" s="56"/>
      <c r="E92" s="56"/>
      <c r="F92" s="89"/>
    </row>
    <row r="93" spans="1:6" x14ac:dyDescent="0.3">
      <c r="A93" s="63" t="s">
        <v>216</v>
      </c>
      <c r="B93" s="56">
        <v>5023200</v>
      </c>
      <c r="C93" s="56"/>
      <c r="D93" s="56"/>
      <c r="E93" s="56"/>
      <c r="F93" s="89"/>
    </row>
    <row r="94" spans="1:6" x14ac:dyDescent="0.3">
      <c r="A94" s="63" t="s">
        <v>217</v>
      </c>
      <c r="B94" s="56">
        <v>1343000</v>
      </c>
      <c r="C94" s="56"/>
      <c r="D94" s="56"/>
      <c r="E94" s="56"/>
      <c r="F94" s="89"/>
    </row>
    <row r="95" spans="1:6" x14ac:dyDescent="0.3">
      <c r="A95" s="63" t="s">
        <v>218</v>
      </c>
      <c r="B95" s="56">
        <v>532000</v>
      </c>
      <c r="C95" s="56"/>
      <c r="D95" s="56"/>
      <c r="E95" s="56"/>
      <c r="F95" s="89"/>
    </row>
    <row r="96" spans="1:6" x14ac:dyDescent="0.3">
      <c r="A96" s="63" t="s">
        <v>219</v>
      </c>
      <c r="B96" s="56">
        <v>354900</v>
      </c>
      <c r="C96" s="56"/>
      <c r="D96" s="56"/>
      <c r="E96" s="56"/>
      <c r="F96" s="89"/>
    </row>
    <row r="97" spans="1:7" x14ac:dyDescent="0.3">
      <c r="A97" s="63" t="s">
        <v>220</v>
      </c>
      <c r="B97" s="56">
        <v>55800</v>
      </c>
      <c r="C97" s="56"/>
      <c r="D97" s="56"/>
      <c r="E97" s="56"/>
      <c r="F97" s="89"/>
    </row>
    <row r="98" spans="1:7" x14ac:dyDescent="0.3">
      <c r="A98" s="63" t="s">
        <v>221</v>
      </c>
      <c r="B98" s="56">
        <v>25840</v>
      </c>
      <c r="C98" s="56"/>
      <c r="D98" s="56"/>
      <c r="E98" s="56"/>
      <c r="F98" s="89"/>
    </row>
    <row r="99" spans="1:7" x14ac:dyDescent="0.3">
      <c r="A99" s="63" t="s">
        <v>222</v>
      </c>
      <c r="B99" s="56">
        <v>55660.4</v>
      </c>
      <c r="C99" s="56"/>
      <c r="D99" s="56"/>
      <c r="E99" s="56"/>
      <c r="F99" s="89"/>
    </row>
    <row r="100" spans="1:7" x14ac:dyDescent="0.3">
      <c r="A100" s="63" t="s">
        <v>223</v>
      </c>
      <c r="B100" s="56">
        <v>74200</v>
      </c>
      <c r="C100" s="56"/>
      <c r="D100" s="56"/>
      <c r="E100" s="56"/>
      <c r="F100" s="89"/>
    </row>
    <row r="101" spans="1:7" x14ac:dyDescent="0.3">
      <c r="A101" s="63" t="s">
        <v>224</v>
      </c>
      <c r="B101" s="56">
        <v>58800</v>
      </c>
      <c r="C101" s="56"/>
      <c r="D101" s="56"/>
      <c r="E101" s="56"/>
      <c r="F101" s="89"/>
    </row>
    <row r="102" spans="1:7" x14ac:dyDescent="0.3">
      <c r="A102" s="64" t="s">
        <v>149</v>
      </c>
      <c r="B102" s="57">
        <v>37099005.399999999</v>
      </c>
      <c r="C102" s="57"/>
      <c r="D102" s="57"/>
      <c r="E102" s="57"/>
    </row>
    <row r="103" spans="1:7" x14ac:dyDescent="0.3">
      <c r="A103" s="63"/>
      <c r="B103" s="56"/>
      <c r="C103" s="56"/>
      <c r="D103" s="56"/>
      <c r="E103" s="56"/>
    </row>
    <row r="104" spans="1:7" x14ac:dyDescent="0.3">
      <c r="A104" s="64" t="s">
        <v>150</v>
      </c>
      <c r="B104" s="65"/>
      <c r="C104" s="65"/>
      <c r="D104" s="65"/>
      <c r="E104" s="65"/>
    </row>
    <row r="105" spans="1:7" x14ac:dyDescent="0.3">
      <c r="A105" s="1" t="s">
        <v>225</v>
      </c>
      <c r="B105" s="56">
        <v>0</v>
      </c>
      <c r="C105" s="56">
        <v>0</v>
      </c>
      <c r="D105" s="56">
        <v>862500</v>
      </c>
      <c r="E105" s="56">
        <v>862500</v>
      </c>
      <c r="F105" s="89">
        <v>7230000</v>
      </c>
    </row>
    <row r="106" spans="1:7" x14ac:dyDescent="0.3">
      <c r="A106" s="1" t="s">
        <v>226</v>
      </c>
      <c r="B106" s="56">
        <v>0</v>
      </c>
      <c r="C106" s="56">
        <v>0</v>
      </c>
      <c r="D106" s="56">
        <v>0</v>
      </c>
      <c r="E106" s="56">
        <v>0</v>
      </c>
      <c r="F106" s="89">
        <v>0</v>
      </c>
    </row>
    <row r="107" spans="1:7" x14ac:dyDescent="0.3">
      <c r="A107" s="1" t="s">
        <v>227</v>
      </c>
      <c r="B107" s="56">
        <v>0</v>
      </c>
      <c r="C107" s="56">
        <v>0</v>
      </c>
      <c r="D107" s="56">
        <v>4149500</v>
      </c>
      <c r="E107" s="56">
        <v>4149500</v>
      </c>
      <c r="F107" s="89">
        <v>9782460</v>
      </c>
    </row>
    <row r="108" spans="1:7" x14ac:dyDescent="0.3">
      <c r="A108" s="1" t="s">
        <v>228</v>
      </c>
      <c r="B108" s="56">
        <v>0</v>
      </c>
      <c r="C108" s="56">
        <v>0</v>
      </c>
      <c r="D108" s="56">
        <v>199500</v>
      </c>
      <c r="E108" s="56">
        <v>199500</v>
      </c>
      <c r="F108" s="89"/>
      <c r="G108" s="66"/>
    </row>
    <row r="109" spans="1:7" x14ac:dyDescent="0.3">
      <c r="A109" s="1" t="s">
        <v>229</v>
      </c>
      <c r="B109" s="56">
        <v>0</v>
      </c>
      <c r="C109" s="56">
        <v>0</v>
      </c>
      <c r="D109" s="56">
        <v>0</v>
      </c>
      <c r="E109" s="56">
        <v>0</v>
      </c>
      <c r="F109" s="89">
        <v>0</v>
      </c>
    </row>
    <row r="110" spans="1:7" x14ac:dyDescent="0.3">
      <c r="A110" s="1" t="s">
        <v>230</v>
      </c>
      <c r="B110" s="56">
        <v>0</v>
      </c>
      <c r="C110" s="56">
        <v>0</v>
      </c>
      <c r="D110" s="56">
        <v>1393389</v>
      </c>
      <c r="E110" s="56">
        <v>1393389</v>
      </c>
      <c r="F110" s="89">
        <v>0</v>
      </c>
    </row>
    <row r="111" spans="1:7" x14ac:dyDescent="0.3">
      <c r="A111" s="14" t="s">
        <v>231</v>
      </c>
      <c r="B111" s="56">
        <v>0</v>
      </c>
      <c r="C111" s="56">
        <v>0</v>
      </c>
      <c r="D111" s="56">
        <v>0</v>
      </c>
      <c r="E111" s="56">
        <v>0</v>
      </c>
      <c r="F111" s="89">
        <v>0</v>
      </c>
    </row>
    <row r="112" spans="1:7" x14ac:dyDescent="0.3">
      <c r="A112" s="1" t="s">
        <v>232</v>
      </c>
      <c r="B112" s="56">
        <v>0</v>
      </c>
      <c r="C112" s="56">
        <v>0</v>
      </c>
      <c r="D112" s="56">
        <v>397700</v>
      </c>
      <c r="E112" s="56">
        <v>397700</v>
      </c>
      <c r="F112" s="89">
        <v>938796</v>
      </c>
    </row>
    <row r="113" spans="1:6" x14ac:dyDescent="0.3">
      <c r="A113" s="1" t="s">
        <v>233</v>
      </c>
      <c r="B113" s="56">
        <v>0</v>
      </c>
      <c r="C113" s="56">
        <v>0</v>
      </c>
      <c r="D113" s="56">
        <v>82210</v>
      </c>
      <c r="E113" s="56">
        <v>82210</v>
      </c>
      <c r="F113" s="89">
        <v>0</v>
      </c>
    </row>
    <row r="114" spans="1:6" x14ac:dyDescent="0.3">
      <c r="A114" s="1" t="s">
        <v>234</v>
      </c>
      <c r="B114" s="56">
        <v>0</v>
      </c>
      <c r="C114" s="56">
        <v>0</v>
      </c>
      <c r="D114" s="56">
        <v>0</v>
      </c>
      <c r="E114" s="56">
        <v>0</v>
      </c>
      <c r="F114" s="89">
        <v>0</v>
      </c>
    </row>
    <row r="115" spans="1:6" x14ac:dyDescent="0.3">
      <c r="A115" s="1" t="s">
        <v>235</v>
      </c>
      <c r="B115" s="56">
        <v>0</v>
      </c>
      <c r="C115" s="56">
        <v>0</v>
      </c>
      <c r="D115" s="56">
        <v>32700</v>
      </c>
      <c r="E115" s="56">
        <v>32700</v>
      </c>
      <c r="F115" s="89">
        <v>394000</v>
      </c>
    </row>
    <row r="116" spans="1:6" x14ac:dyDescent="0.3">
      <c r="A116" s="1" t="s">
        <v>236</v>
      </c>
      <c r="B116" s="56">
        <v>0</v>
      </c>
      <c r="C116" s="56">
        <v>0</v>
      </c>
      <c r="D116" s="56">
        <v>0</v>
      </c>
      <c r="E116" s="56">
        <v>0</v>
      </c>
      <c r="F116" s="89">
        <v>100000</v>
      </c>
    </row>
    <row r="117" spans="1:6" x14ac:dyDescent="0.3">
      <c r="A117" s="1" t="s">
        <v>237</v>
      </c>
      <c r="B117" s="56">
        <v>0</v>
      </c>
      <c r="C117" s="56">
        <v>0</v>
      </c>
      <c r="D117" s="56">
        <v>0</v>
      </c>
      <c r="E117" s="56">
        <v>0</v>
      </c>
      <c r="F117" s="89">
        <v>0</v>
      </c>
    </row>
    <row r="118" spans="1:6" x14ac:dyDescent="0.3">
      <c r="A118" s="1" t="s">
        <v>238</v>
      </c>
      <c r="B118" s="56">
        <v>0</v>
      </c>
      <c r="C118" s="56">
        <v>0</v>
      </c>
      <c r="D118" s="56">
        <v>0</v>
      </c>
      <c r="E118" s="56">
        <v>0</v>
      </c>
      <c r="F118" s="89">
        <v>0</v>
      </c>
    </row>
    <row r="119" spans="1:6" x14ac:dyDescent="0.3">
      <c r="A119" s="1" t="s">
        <v>239</v>
      </c>
      <c r="B119" s="56">
        <v>0</v>
      </c>
      <c r="C119" s="56">
        <v>0</v>
      </c>
      <c r="D119" s="56">
        <v>241000</v>
      </c>
      <c r="E119" s="56">
        <v>241000</v>
      </c>
      <c r="F119" s="89">
        <v>192000</v>
      </c>
    </row>
    <row r="120" spans="1:6" x14ac:dyDescent="0.3">
      <c r="A120" s="1" t="s">
        <v>240</v>
      </c>
      <c r="B120" s="56">
        <v>0</v>
      </c>
      <c r="C120" s="56">
        <v>0</v>
      </c>
      <c r="D120" s="56">
        <v>0</v>
      </c>
      <c r="E120" s="56">
        <v>0</v>
      </c>
      <c r="F120" s="89">
        <v>0</v>
      </c>
    </row>
    <row r="121" spans="1:6" x14ac:dyDescent="0.3">
      <c r="A121" s="1" t="s">
        <v>241</v>
      </c>
      <c r="B121" s="56">
        <v>0</v>
      </c>
      <c r="C121" s="56">
        <v>0</v>
      </c>
      <c r="D121" s="56">
        <v>285000</v>
      </c>
      <c r="E121" s="56">
        <v>285000</v>
      </c>
      <c r="F121" s="89">
        <v>610000</v>
      </c>
    </row>
    <row r="122" spans="1:6" x14ac:dyDescent="0.3">
      <c r="A122" s="1" t="s">
        <v>242</v>
      </c>
      <c r="B122" s="56">
        <v>0</v>
      </c>
      <c r="C122" s="56">
        <v>0</v>
      </c>
      <c r="D122" s="56">
        <v>0</v>
      </c>
      <c r="E122" s="56">
        <v>0</v>
      </c>
      <c r="F122" s="89">
        <v>0</v>
      </c>
    </row>
    <row r="123" spans="1:6" x14ac:dyDescent="0.3">
      <c r="A123" s="1" t="s">
        <v>243</v>
      </c>
      <c r="B123" s="56">
        <v>0</v>
      </c>
      <c r="C123" s="56">
        <v>0</v>
      </c>
      <c r="D123" s="56">
        <v>155681</v>
      </c>
      <c r="E123" s="56">
        <v>155681</v>
      </c>
      <c r="F123" s="89">
        <v>0</v>
      </c>
    </row>
    <row r="124" spans="1:6" x14ac:dyDescent="0.3">
      <c r="A124" s="1" t="s">
        <v>244</v>
      </c>
      <c r="B124" s="56">
        <v>0</v>
      </c>
      <c r="C124" s="56">
        <v>0</v>
      </c>
      <c r="D124" s="56">
        <v>24000</v>
      </c>
      <c r="E124" s="56">
        <v>24000</v>
      </c>
      <c r="F124" s="89">
        <v>54950</v>
      </c>
    </row>
    <row r="125" spans="1:6" x14ac:dyDescent="0.3">
      <c r="A125" s="1" t="s">
        <v>245</v>
      </c>
      <c r="B125" s="56">
        <v>0</v>
      </c>
      <c r="C125" s="56">
        <v>0</v>
      </c>
      <c r="D125" s="56">
        <v>163100</v>
      </c>
      <c r="E125" s="56">
        <v>163100</v>
      </c>
      <c r="F125" s="89">
        <v>0</v>
      </c>
    </row>
    <row r="126" spans="1:6" x14ac:dyDescent="0.3">
      <c r="A126" s="1" t="s">
        <v>246</v>
      </c>
      <c r="B126" s="56">
        <v>442196</v>
      </c>
      <c r="C126" s="56">
        <v>0</v>
      </c>
      <c r="D126" s="56">
        <v>290650</v>
      </c>
      <c r="E126" s="56">
        <v>732846</v>
      </c>
      <c r="F126" s="89">
        <v>0</v>
      </c>
    </row>
    <row r="127" spans="1:6" x14ac:dyDescent="0.3">
      <c r="A127" s="1" t="s">
        <v>247</v>
      </c>
      <c r="B127" s="56">
        <v>0</v>
      </c>
      <c r="C127" s="56">
        <v>0</v>
      </c>
      <c r="D127" s="56">
        <v>0</v>
      </c>
      <c r="E127" s="56">
        <v>0</v>
      </c>
      <c r="F127" s="89">
        <v>0</v>
      </c>
    </row>
    <row r="128" spans="1:6" x14ac:dyDescent="0.3">
      <c r="A128" s="1" t="s">
        <v>248</v>
      </c>
      <c r="B128" s="56">
        <v>0</v>
      </c>
      <c r="C128" s="56">
        <v>0</v>
      </c>
      <c r="D128" s="56">
        <v>0</v>
      </c>
      <c r="E128" s="56">
        <v>0</v>
      </c>
      <c r="F128" s="89">
        <v>200000</v>
      </c>
    </row>
    <row r="129" spans="1:6" x14ac:dyDescent="0.3">
      <c r="A129" s="1" t="s">
        <v>249</v>
      </c>
      <c r="B129" s="56">
        <v>0</v>
      </c>
      <c r="C129" s="56">
        <v>0</v>
      </c>
      <c r="D129" s="56">
        <v>0</v>
      </c>
      <c r="E129" s="56">
        <v>0</v>
      </c>
      <c r="F129" s="89">
        <v>0</v>
      </c>
    </row>
    <row r="130" spans="1:6" x14ac:dyDescent="0.3">
      <c r="A130" s="1" t="s">
        <v>250</v>
      </c>
      <c r="B130" s="56">
        <v>0</v>
      </c>
      <c r="C130" s="56">
        <v>0</v>
      </c>
      <c r="D130" s="56">
        <v>0</v>
      </c>
      <c r="E130" s="56">
        <v>0</v>
      </c>
      <c r="F130" s="89">
        <v>0</v>
      </c>
    </row>
    <row r="131" spans="1:6" x14ac:dyDescent="0.3">
      <c r="A131" s="1" t="s">
        <v>251</v>
      </c>
      <c r="B131" s="56">
        <v>0</v>
      </c>
      <c r="C131" s="56">
        <v>0</v>
      </c>
      <c r="D131" s="56">
        <v>0</v>
      </c>
      <c r="E131" s="56">
        <v>0</v>
      </c>
      <c r="F131" s="89">
        <v>0</v>
      </c>
    </row>
    <row r="132" spans="1:6" x14ac:dyDescent="0.3">
      <c r="A132" s="1" t="s">
        <v>252</v>
      </c>
      <c r="B132" s="56">
        <v>0</v>
      </c>
      <c r="C132" s="56">
        <v>0</v>
      </c>
      <c r="D132" s="56">
        <v>0</v>
      </c>
      <c r="E132" s="56">
        <v>0</v>
      </c>
      <c r="F132" s="89">
        <v>0</v>
      </c>
    </row>
    <row r="133" spans="1:6" x14ac:dyDescent="0.3">
      <c r="A133" s="1" t="s">
        <v>253</v>
      </c>
      <c r="B133" s="56">
        <v>0</v>
      </c>
      <c r="C133" s="56">
        <v>0</v>
      </c>
      <c r="D133" s="56">
        <v>0</v>
      </c>
      <c r="E133" s="56">
        <v>0</v>
      </c>
      <c r="F133" s="89">
        <v>793500</v>
      </c>
    </row>
    <row r="134" spans="1:6" x14ac:dyDescent="0.3">
      <c r="A134" s="1" t="s">
        <v>254</v>
      </c>
      <c r="B134" s="56">
        <v>0</v>
      </c>
      <c r="C134" s="56">
        <v>0</v>
      </c>
      <c r="D134" s="56">
        <v>0</v>
      </c>
      <c r="E134" s="56">
        <v>0</v>
      </c>
      <c r="F134" s="89">
        <v>0</v>
      </c>
    </row>
    <row r="135" spans="1:6" x14ac:dyDescent="0.3">
      <c r="A135" s="1" t="s">
        <v>255</v>
      </c>
      <c r="B135" s="56">
        <v>0</v>
      </c>
      <c r="C135" s="56">
        <v>0</v>
      </c>
      <c r="D135" s="56">
        <v>1250000</v>
      </c>
      <c r="E135" s="56">
        <v>1250000</v>
      </c>
      <c r="F135" s="89">
        <v>0</v>
      </c>
    </row>
    <row r="136" spans="1:6" x14ac:dyDescent="0.3">
      <c r="A136" s="1" t="s">
        <v>256</v>
      </c>
      <c r="B136" s="56">
        <v>0</v>
      </c>
      <c r="C136" s="56">
        <v>0</v>
      </c>
      <c r="D136" s="56">
        <v>0</v>
      </c>
      <c r="E136" s="56">
        <v>0</v>
      </c>
      <c r="F136" s="89">
        <v>0</v>
      </c>
    </row>
    <row r="137" spans="1:6" x14ac:dyDescent="0.3">
      <c r="A137" s="1" t="s">
        <v>257</v>
      </c>
      <c r="B137" s="56">
        <v>0</v>
      </c>
      <c r="C137" s="56">
        <v>0</v>
      </c>
      <c r="D137" s="56">
        <v>0</v>
      </c>
      <c r="E137" s="56">
        <v>0</v>
      </c>
      <c r="F137" s="89">
        <v>0</v>
      </c>
    </row>
    <row r="138" spans="1:6" x14ac:dyDescent="0.3">
      <c r="A138" s="1" t="s">
        <v>258</v>
      </c>
      <c r="B138" s="56">
        <v>0</v>
      </c>
      <c r="C138" s="56">
        <v>0</v>
      </c>
      <c r="D138" s="56">
        <v>0</v>
      </c>
      <c r="E138" s="56">
        <v>0</v>
      </c>
      <c r="F138" s="89">
        <v>0</v>
      </c>
    </row>
    <row r="139" spans="1:6" x14ac:dyDescent="0.3">
      <c r="A139" s="1" t="s">
        <v>259</v>
      </c>
      <c r="B139" s="56">
        <v>0</v>
      </c>
      <c r="C139" s="56">
        <v>0</v>
      </c>
      <c r="D139" s="56">
        <v>0</v>
      </c>
      <c r="E139" s="56">
        <v>0</v>
      </c>
      <c r="F139" s="89">
        <v>0</v>
      </c>
    </row>
    <row r="140" spans="1:6" x14ac:dyDescent="0.3">
      <c r="A140" s="14" t="s">
        <v>260</v>
      </c>
      <c r="B140" s="56">
        <v>268446</v>
      </c>
      <c r="C140" s="56">
        <v>0</v>
      </c>
      <c r="D140" s="56">
        <v>954172</v>
      </c>
      <c r="E140" s="56">
        <v>1222618</v>
      </c>
      <c r="F140" s="89">
        <v>0</v>
      </c>
    </row>
    <row r="141" spans="1:6" x14ac:dyDescent="0.3">
      <c r="A141" s="14" t="s">
        <v>261</v>
      </c>
      <c r="B141" s="56">
        <v>0</v>
      </c>
      <c r="C141" s="56">
        <v>0</v>
      </c>
      <c r="D141" s="56">
        <v>0</v>
      </c>
      <c r="E141" s="56">
        <v>0</v>
      </c>
      <c r="F141" s="89">
        <v>0</v>
      </c>
    </row>
    <row r="142" spans="1:6" x14ac:dyDescent="0.3">
      <c r="A142" s="1" t="s">
        <v>262</v>
      </c>
      <c r="B142" s="56">
        <v>0</v>
      </c>
      <c r="C142" s="56">
        <v>0</v>
      </c>
      <c r="D142" s="56">
        <v>0</v>
      </c>
      <c r="E142" s="56">
        <v>0</v>
      </c>
      <c r="F142" s="89">
        <v>0</v>
      </c>
    </row>
    <row r="143" spans="1:6" x14ac:dyDescent="0.3">
      <c r="A143" s="1" t="s">
        <v>263</v>
      </c>
      <c r="B143" s="56">
        <v>0</v>
      </c>
      <c r="C143" s="56">
        <v>0</v>
      </c>
      <c r="D143" s="56">
        <v>2480000</v>
      </c>
      <c r="E143" s="56">
        <v>2480000</v>
      </c>
      <c r="F143" s="89">
        <v>0</v>
      </c>
    </row>
    <row r="144" spans="1:6" x14ac:dyDescent="0.3">
      <c r="A144" s="64" t="s">
        <v>149</v>
      </c>
      <c r="B144" s="57">
        <v>710642</v>
      </c>
      <c r="C144" s="57">
        <v>0</v>
      </c>
      <c r="D144" s="57">
        <v>12961102</v>
      </c>
      <c r="E144" s="57">
        <v>13671744</v>
      </c>
      <c r="F144" s="57">
        <v>20295706</v>
      </c>
    </row>
    <row r="145" spans="1:5" x14ac:dyDescent="0.3">
      <c r="A145" s="67"/>
      <c r="B145" s="58"/>
      <c r="C145" s="58"/>
      <c r="D145" s="58"/>
      <c r="E145" s="58"/>
    </row>
    <row r="146" spans="1:5" ht="15" customHeight="1" thickBot="1" x14ac:dyDescent="0.35">
      <c r="A146" s="68" t="s">
        <v>264</v>
      </c>
      <c r="B146" s="59">
        <v>37809647.399999999</v>
      </c>
      <c r="C146" s="57"/>
      <c r="D146" s="57"/>
      <c r="E146" s="57"/>
    </row>
    <row r="147" spans="1:5" ht="15" customHeight="1" thickBot="1" x14ac:dyDescent="0.35">
      <c r="A147" s="56"/>
      <c r="B147" s="56"/>
      <c r="C147" s="56"/>
      <c r="D147" s="56"/>
      <c r="E147" s="56"/>
    </row>
    <row r="148" spans="1:5" x14ac:dyDescent="0.3">
      <c r="A148" s="60" t="s">
        <v>130</v>
      </c>
      <c r="B148" s="69"/>
      <c r="C148" s="65"/>
      <c r="D148" s="65"/>
      <c r="E148" s="65"/>
    </row>
    <row r="149" spans="1:5" x14ac:dyDescent="0.3">
      <c r="A149" s="63" t="s">
        <v>265</v>
      </c>
      <c r="B149" s="56">
        <v>10133592</v>
      </c>
      <c r="C149" s="56"/>
      <c r="D149" s="56"/>
      <c r="E149" s="56"/>
    </row>
    <row r="150" spans="1:5" x14ac:dyDescent="0.3">
      <c r="A150" s="63" t="s">
        <v>266</v>
      </c>
      <c r="B150" s="56">
        <v>1390000</v>
      </c>
      <c r="C150" s="56"/>
      <c r="D150" s="56"/>
      <c r="E150" s="56"/>
    </row>
    <row r="151" spans="1:5" x14ac:dyDescent="0.3">
      <c r="A151" s="63" t="s">
        <v>267</v>
      </c>
      <c r="B151" s="56">
        <v>137158</v>
      </c>
      <c r="C151" s="56"/>
      <c r="D151" s="56"/>
      <c r="E151" s="56"/>
    </row>
    <row r="152" spans="1:5" x14ac:dyDescent="0.3">
      <c r="A152" s="63" t="s">
        <v>268</v>
      </c>
      <c r="B152" s="56">
        <v>0</v>
      </c>
      <c r="C152" s="56"/>
      <c r="D152" s="56"/>
      <c r="E152" s="56"/>
    </row>
    <row r="153" spans="1:5" x14ac:dyDescent="0.3">
      <c r="A153" s="63" t="s">
        <v>269</v>
      </c>
      <c r="B153" s="56">
        <v>29404</v>
      </c>
      <c r="C153" s="56"/>
      <c r="D153" s="56"/>
      <c r="E153" s="56"/>
    </row>
    <row r="154" spans="1:5" x14ac:dyDescent="0.3">
      <c r="A154" s="63" t="s">
        <v>270</v>
      </c>
      <c r="B154" s="56">
        <v>862470</v>
      </c>
      <c r="C154" s="56"/>
      <c r="D154" s="56"/>
      <c r="E154" s="56"/>
    </row>
    <row r="155" spans="1:5" x14ac:dyDescent="0.3">
      <c r="A155" s="63" t="s">
        <v>271</v>
      </c>
      <c r="B155" s="56">
        <v>103498</v>
      </c>
      <c r="C155" s="56"/>
      <c r="D155" s="56"/>
      <c r="E155" s="56"/>
    </row>
    <row r="156" spans="1:5" x14ac:dyDescent="0.3">
      <c r="A156" s="63" t="s">
        <v>272</v>
      </c>
      <c r="B156" s="56">
        <v>862470</v>
      </c>
      <c r="C156" s="56"/>
      <c r="D156" s="56"/>
      <c r="E156" s="56"/>
    </row>
    <row r="157" spans="1:5" x14ac:dyDescent="0.3">
      <c r="A157" s="63" t="s">
        <v>273</v>
      </c>
      <c r="B157" s="56">
        <v>428418</v>
      </c>
      <c r="C157" s="56"/>
      <c r="D157" s="56"/>
      <c r="E157" s="56"/>
    </row>
    <row r="158" spans="1:5" x14ac:dyDescent="0.3">
      <c r="A158" s="63" t="s">
        <v>274</v>
      </c>
      <c r="B158" s="56">
        <v>124900</v>
      </c>
      <c r="C158" s="56"/>
      <c r="D158" s="56"/>
      <c r="E158" s="56"/>
    </row>
    <row r="159" spans="1:5" x14ac:dyDescent="0.3">
      <c r="A159" s="63" t="s">
        <v>275</v>
      </c>
      <c r="B159" s="56">
        <v>869700</v>
      </c>
      <c r="C159" s="56"/>
      <c r="D159" s="56"/>
      <c r="E159" s="56"/>
    </row>
    <row r="160" spans="1:5" x14ac:dyDescent="0.3">
      <c r="A160" s="63" t="s">
        <v>276</v>
      </c>
      <c r="B160" s="56">
        <v>1227800</v>
      </c>
      <c r="C160" s="56"/>
      <c r="D160" s="56"/>
      <c r="E160" s="56"/>
    </row>
    <row r="161" spans="1:5" x14ac:dyDescent="0.3">
      <c r="A161" s="63" t="s">
        <v>277</v>
      </c>
      <c r="B161" s="56">
        <v>395200</v>
      </c>
      <c r="C161" s="56"/>
      <c r="D161" s="56"/>
      <c r="E161" s="56"/>
    </row>
    <row r="162" spans="1:5" x14ac:dyDescent="0.3">
      <c r="A162" s="63" t="s">
        <v>278</v>
      </c>
      <c r="B162" s="56">
        <v>298200</v>
      </c>
      <c r="C162" s="56"/>
      <c r="D162" s="56"/>
      <c r="E162" s="56"/>
    </row>
    <row r="163" spans="1:5" ht="15" customHeight="1" thickBot="1" x14ac:dyDescent="0.35">
      <c r="A163" s="63" t="s">
        <v>279</v>
      </c>
      <c r="B163" s="56">
        <v>198800</v>
      </c>
      <c r="C163" s="56"/>
      <c r="D163" s="56"/>
      <c r="E163" s="56"/>
    </row>
    <row r="164" spans="1:5" ht="15" customHeight="1" thickBot="1" x14ac:dyDescent="0.35">
      <c r="A164" s="70" t="s">
        <v>149</v>
      </c>
      <c r="B164" s="71">
        <v>17061610</v>
      </c>
      <c r="C164" s="57"/>
      <c r="D164" s="57"/>
      <c r="E164" s="57"/>
    </row>
    <row r="165" spans="1:5" ht="15" customHeight="1" thickBot="1" x14ac:dyDescent="0.35">
      <c r="A165" s="63"/>
      <c r="B165" s="56"/>
      <c r="C165" s="56"/>
      <c r="D165" s="56"/>
      <c r="E165" s="56"/>
    </row>
    <row r="166" spans="1:5" x14ac:dyDescent="0.3">
      <c r="A166" s="60" t="s">
        <v>150</v>
      </c>
      <c r="B166" s="69"/>
      <c r="C166" s="65"/>
      <c r="D166" s="65"/>
      <c r="E166" s="65"/>
    </row>
    <row r="167" spans="1:5" x14ac:dyDescent="0.3">
      <c r="A167" s="63" t="s">
        <v>169</v>
      </c>
      <c r="B167" s="56">
        <v>0</v>
      </c>
      <c r="C167" s="56"/>
      <c r="D167" s="56"/>
      <c r="E167" s="56"/>
    </row>
    <row r="168" spans="1:5" x14ac:dyDescent="0.3">
      <c r="A168" s="63" t="s">
        <v>170</v>
      </c>
      <c r="B168" s="56">
        <v>0</v>
      </c>
      <c r="C168" s="56"/>
      <c r="D168" s="56"/>
      <c r="E168" s="56"/>
    </row>
    <row r="169" spans="1:5" x14ac:dyDescent="0.3">
      <c r="A169" s="63" t="s">
        <v>171</v>
      </c>
      <c r="B169" s="56">
        <v>0</v>
      </c>
      <c r="C169" s="56"/>
      <c r="D169" s="56"/>
      <c r="E169" s="56"/>
    </row>
    <row r="170" spans="1:5" x14ac:dyDescent="0.3">
      <c r="A170" s="63" t="s">
        <v>280</v>
      </c>
      <c r="B170" s="56">
        <v>111956</v>
      </c>
      <c r="C170" s="56"/>
      <c r="D170" s="56"/>
      <c r="E170" s="56"/>
    </row>
    <row r="171" spans="1:5" x14ac:dyDescent="0.3">
      <c r="A171" s="63" t="s">
        <v>281</v>
      </c>
      <c r="B171" s="56">
        <v>1109478</v>
      </c>
      <c r="C171" s="56"/>
      <c r="D171" s="56"/>
      <c r="E171" s="56"/>
    </row>
    <row r="172" spans="1:5" x14ac:dyDescent="0.3">
      <c r="A172" s="63" t="s">
        <v>282</v>
      </c>
      <c r="B172" s="56">
        <v>600000</v>
      </c>
      <c r="C172" s="56"/>
      <c r="D172" s="56"/>
      <c r="E172" s="56"/>
    </row>
    <row r="173" spans="1:5" x14ac:dyDescent="0.3">
      <c r="A173" s="63" t="s">
        <v>283</v>
      </c>
      <c r="B173" s="56">
        <v>56302</v>
      </c>
      <c r="C173" s="56"/>
      <c r="D173" s="56"/>
      <c r="E173" s="56"/>
    </row>
    <row r="174" spans="1:5" x14ac:dyDescent="0.3">
      <c r="A174" s="63" t="s">
        <v>284</v>
      </c>
      <c r="B174" s="56">
        <v>15000</v>
      </c>
      <c r="C174" s="56"/>
      <c r="D174" s="56"/>
      <c r="E174" s="56"/>
    </row>
    <row r="175" spans="1:5" x14ac:dyDescent="0.3">
      <c r="A175" s="63" t="s">
        <v>285</v>
      </c>
      <c r="B175" s="56">
        <v>116000</v>
      </c>
      <c r="C175" s="56"/>
      <c r="D175" s="56"/>
      <c r="E175" s="56"/>
    </row>
    <row r="176" spans="1:5" x14ac:dyDescent="0.3">
      <c r="A176" s="63" t="s">
        <v>286</v>
      </c>
      <c r="B176" s="56">
        <v>34700</v>
      </c>
      <c r="C176" s="56"/>
      <c r="D176" s="56"/>
      <c r="E176" s="56"/>
    </row>
    <row r="177" spans="1:6" x14ac:dyDescent="0.3">
      <c r="A177" s="63" t="s">
        <v>287</v>
      </c>
      <c r="B177" s="56">
        <v>263282</v>
      </c>
      <c r="C177" s="56"/>
      <c r="D177" s="56"/>
      <c r="E177" s="56"/>
    </row>
    <row r="178" spans="1:6" x14ac:dyDescent="0.3">
      <c r="A178" s="63" t="s">
        <v>203</v>
      </c>
      <c r="B178" s="56">
        <v>0</v>
      </c>
      <c r="C178" s="56"/>
      <c r="D178" s="56"/>
      <c r="E178" s="56"/>
    </row>
    <row r="179" spans="1:6" x14ac:dyDescent="0.3">
      <c r="A179" s="63" t="s">
        <v>288</v>
      </c>
      <c r="B179" s="56">
        <v>0</v>
      </c>
      <c r="C179" s="56"/>
      <c r="D179" s="56"/>
      <c r="E179" s="56"/>
    </row>
    <row r="180" spans="1:6" x14ac:dyDescent="0.3">
      <c r="A180" s="63" t="s">
        <v>205</v>
      </c>
      <c r="B180" s="56">
        <v>0</v>
      </c>
      <c r="C180" s="56"/>
      <c r="D180" s="56"/>
      <c r="E180" s="56"/>
    </row>
    <row r="181" spans="1:6" x14ac:dyDescent="0.3">
      <c r="A181" s="63" t="s">
        <v>220</v>
      </c>
      <c r="B181" s="56">
        <v>0</v>
      </c>
      <c r="C181" s="56"/>
      <c r="D181" s="56"/>
      <c r="E181" s="56"/>
    </row>
    <row r="182" spans="1:6" x14ac:dyDescent="0.3">
      <c r="A182" s="63" t="s">
        <v>289</v>
      </c>
      <c r="B182" s="56">
        <v>0</v>
      </c>
      <c r="C182" s="56"/>
      <c r="D182" s="56"/>
      <c r="E182" s="56"/>
    </row>
    <row r="183" spans="1:6" x14ac:dyDescent="0.3">
      <c r="A183" s="63" t="s">
        <v>290</v>
      </c>
      <c r="B183" s="56">
        <v>1000</v>
      </c>
      <c r="C183" s="56"/>
      <c r="D183" s="56"/>
      <c r="E183" s="56"/>
    </row>
    <row r="184" spans="1:6" x14ac:dyDescent="0.3">
      <c r="A184" s="63" t="s">
        <v>291</v>
      </c>
      <c r="B184" s="56">
        <v>398315</v>
      </c>
      <c r="C184" s="56"/>
      <c r="D184" s="56"/>
      <c r="E184" s="56"/>
    </row>
    <row r="185" spans="1:6" ht="15" customHeight="1" thickBot="1" x14ac:dyDescent="0.35">
      <c r="A185" s="63" t="s">
        <v>292</v>
      </c>
      <c r="B185" s="56">
        <v>0</v>
      </c>
      <c r="C185" s="56"/>
      <c r="D185" s="56"/>
      <c r="E185" s="56"/>
    </row>
    <row r="186" spans="1:6" ht="15" customHeight="1" thickBot="1" x14ac:dyDescent="0.35">
      <c r="A186" s="70" t="s">
        <v>149</v>
      </c>
      <c r="B186" s="71">
        <v>2706033</v>
      </c>
      <c r="C186" s="57"/>
      <c r="D186" s="57"/>
      <c r="E186" s="57"/>
    </row>
    <row r="188" spans="1:6" x14ac:dyDescent="0.3">
      <c r="B188" t="s">
        <v>128</v>
      </c>
      <c r="F188" t="s">
        <v>129</v>
      </c>
    </row>
    <row r="189" spans="1:6" x14ac:dyDescent="0.3">
      <c r="A189" s="63" t="s">
        <v>293</v>
      </c>
      <c r="B189" s="56">
        <v>611047</v>
      </c>
      <c r="C189" s="56"/>
      <c r="D189" s="56"/>
      <c r="E189" s="56"/>
      <c r="F189" s="89">
        <v>5260224</v>
      </c>
    </row>
    <row r="190" spans="1:6" x14ac:dyDescent="0.3">
      <c r="A190" s="1" t="s">
        <v>294</v>
      </c>
      <c r="B190" s="56">
        <v>6187270</v>
      </c>
      <c r="C190" s="56">
        <v>4482200</v>
      </c>
      <c r="D190" s="56">
        <v>43692386</v>
      </c>
      <c r="E190" s="56">
        <v>54361856</v>
      </c>
      <c r="F190" s="89">
        <v>23785424</v>
      </c>
    </row>
    <row r="191" spans="1:6" x14ac:dyDescent="0.3">
      <c r="A191" t="s">
        <v>295</v>
      </c>
      <c r="B191" s="66">
        <v>6798317</v>
      </c>
      <c r="C191" s="66">
        <v>4482200</v>
      </c>
      <c r="D191" s="66">
        <v>43692386</v>
      </c>
      <c r="E191" s="66">
        <v>54361856</v>
      </c>
      <c r="F191" s="66">
        <v>29045648</v>
      </c>
    </row>
    <row r="193" spans="1:6" x14ac:dyDescent="0.3">
      <c r="A193" t="s">
        <v>296</v>
      </c>
      <c r="B193">
        <v>0</v>
      </c>
      <c r="F193" s="89">
        <v>0</v>
      </c>
    </row>
    <row r="194" spans="1:6" x14ac:dyDescent="0.3">
      <c r="A194" t="s">
        <v>297</v>
      </c>
      <c r="B194">
        <v>0</v>
      </c>
    </row>
    <row r="195" spans="1:6" x14ac:dyDescent="0.3">
      <c r="A195" t="s">
        <v>298</v>
      </c>
      <c r="B195" s="89">
        <v>-8814827</v>
      </c>
      <c r="C195" s="89"/>
      <c r="D195" s="89"/>
      <c r="E195" s="89"/>
    </row>
    <row r="196" spans="1:6" x14ac:dyDescent="0.3">
      <c r="A196" t="s">
        <v>299</v>
      </c>
      <c r="B196" s="89">
        <v>15613144</v>
      </c>
      <c r="C196" s="89"/>
      <c r="D196" s="89"/>
      <c r="E196" s="89"/>
    </row>
    <row r="197" spans="1:6" x14ac:dyDescent="0.3">
      <c r="B197" t="s">
        <v>128</v>
      </c>
      <c r="F197" t="s">
        <v>129</v>
      </c>
    </row>
    <row r="198" spans="1:6" x14ac:dyDescent="0.3">
      <c r="A198" s="1" t="s">
        <v>300</v>
      </c>
      <c r="B198" s="56">
        <v>3900000</v>
      </c>
      <c r="C198" s="56"/>
      <c r="D198" s="56"/>
      <c r="E198" s="56"/>
    </row>
    <row r="199" spans="1:6" x14ac:dyDescent="0.3">
      <c r="A199" t="s">
        <v>301</v>
      </c>
      <c r="B199">
        <v>0</v>
      </c>
    </row>
    <row r="200" spans="1:6" x14ac:dyDescent="0.3">
      <c r="A200" t="s">
        <v>302</v>
      </c>
      <c r="B200">
        <v>0</v>
      </c>
    </row>
    <row r="201" spans="1:6" x14ac:dyDescent="0.3">
      <c r="A201" t="s">
        <v>303</v>
      </c>
      <c r="B201" s="89">
        <v>3900000</v>
      </c>
      <c r="C201" s="89"/>
      <c r="D201" s="89"/>
      <c r="E201" s="89"/>
    </row>
  </sheetData>
  <autoFilter ref="A104:F144" xr:uid="{00000000-0009-0000-0000-000008000000}"/>
  <mergeCells count="2">
    <mergeCell ref="A2:B2"/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16"/>
  <sheetViews>
    <sheetView view="pageBreakPreview" topLeftCell="A25" zoomScaleNormal="80" zoomScaleSheetLayoutView="100" workbookViewId="0">
      <selection activeCell="D46" sqref="D46"/>
    </sheetView>
  </sheetViews>
  <sheetFormatPr baseColWidth="10" defaultColWidth="54.109375" defaultRowHeight="14.4" x14ac:dyDescent="0.3"/>
  <cols>
    <col min="1" max="1" width="4.33203125" style="106" customWidth="1"/>
    <col min="2" max="2" width="5.33203125" style="106" customWidth="1"/>
    <col min="3" max="3" width="62.6640625" style="106" customWidth="1"/>
    <col min="4" max="4" width="18.88671875" style="106" customWidth="1"/>
    <col min="5" max="5" width="18.5546875" style="106" customWidth="1"/>
    <col min="6" max="6" width="13.33203125" style="106" customWidth="1"/>
    <col min="7" max="7" width="10.5546875" style="98" bestFit="1" customWidth="1"/>
    <col min="8" max="8" width="14.5546875" style="98" bestFit="1" customWidth="1"/>
    <col min="9" max="9" width="11.33203125" style="98" bestFit="1" customWidth="1"/>
    <col min="10" max="11" width="12.33203125" style="98" customWidth="1"/>
  </cols>
  <sheetData>
    <row r="1" spans="1:11" ht="14.4" customHeight="1" x14ac:dyDescent="0.3">
      <c r="A1" s="260" t="s">
        <v>304</v>
      </c>
      <c r="B1" s="249"/>
      <c r="C1" s="249"/>
      <c r="D1" s="249"/>
      <c r="E1" s="249"/>
      <c r="F1" s="249"/>
      <c r="G1" s="248"/>
      <c r="H1" s="248"/>
      <c r="I1" s="248"/>
      <c r="J1" s="248"/>
      <c r="K1" s="248"/>
    </row>
    <row r="2" spans="1:11" ht="28.95" customHeight="1" x14ac:dyDescent="0.3">
      <c r="A2" s="249"/>
      <c r="B2" s="249"/>
      <c r="C2" s="249"/>
      <c r="D2" s="249"/>
      <c r="E2" s="249"/>
      <c r="F2" s="249"/>
      <c r="G2" s="248"/>
      <c r="H2" s="248"/>
      <c r="I2" s="248"/>
      <c r="J2" s="248"/>
      <c r="K2" s="248"/>
    </row>
    <row r="3" spans="1:11" ht="10.95" customHeight="1" x14ac:dyDescent="0.3"/>
    <row r="4" spans="1:11" ht="14.4" customHeight="1" x14ac:dyDescent="0.3">
      <c r="A4" s="264" t="s">
        <v>8</v>
      </c>
      <c r="B4" s="270"/>
      <c r="C4" s="100" t="s">
        <v>1</v>
      </c>
      <c r="D4" s="100" t="s">
        <v>4</v>
      </c>
      <c r="E4" s="100" t="s">
        <v>5</v>
      </c>
    </row>
    <row r="5" spans="1:11" x14ac:dyDescent="0.3">
      <c r="A5" s="271"/>
      <c r="B5" s="272"/>
      <c r="C5" s="3" t="s">
        <v>305</v>
      </c>
      <c r="D5" s="52">
        <v>5</v>
      </c>
      <c r="E5" s="54">
        <v>391200000</v>
      </c>
    </row>
    <row r="6" spans="1:11" x14ac:dyDescent="0.3">
      <c r="A6" s="271"/>
      <c r="B6" s="272"/>
      <c r="C6" s="20" t="s">
        <v>306</v>
      </c>
      <c r="D6" s="52">
        <v>5</v>
      </c>
      <c r="E6" s="54">
        <v>391200000</v>
      </c>
    </row>
    <row r="7" spans="1:11" x14ac:dyDescent="0.3">
      <c r="A7" s="271"/>
      <c r="B7" s="272"/>
      <c r="C7" s="20" t="s">
        <v>307</v>
      </c>
      <c r="D7" s="52">
        <v>0</v>
      </c>
      <c r="E7" s="54">
        <v>0</v>
      </c>
    </row>
    <row r="8" spans="1:11" x14ac:dyDescent="0.3">
      <c r="A8" s="271"/>
      <c r="B8" s="272"/>
      <c r="C8" s="3" t="s">
        <v>308</v>
      </c>
      <c r="D8" s="52">
        <v>5</v>
      </c>
      <c r="E8" s="54">
        <v>391200000</v>
      </c>
    </row>
    <row r="9" spans="1:11" x14ac:dyDescent="0.3">
      <c r="A9" s="271"/>
      <c r="B9" s="272"/>
      <c r="C9" s="3" t="s">
        <v>309</v>
      </c>
      <c r="D9" s="52">
        <v>0</v>
      </c>
      <c r="E9" s="54">
        <v>0</v>
      </c>
    </row>
    <row r="10" spans="1:11" x14ac:dyDescent="0.3">
      <c r="A10" s="271"/>
      <c r="B10" s="272"/>
      <c r="C10" s="42" t="s">
        <v>310</v>
      </c>
      <c r="D10" s="255" t="s">
        <v>5</v>
      </c>
      <c r="E10" s="267"/>
    </row>
    <row r="11" spans="1:11" x14ac:dyDescent="0.3">
      <c r="A11" s="271"/>
      <c r="B11" s="272"/>
      <c r="C11" s="3" t="s">
        <v>311</v>
      </c>
      <c r="D11" s="275">
        <v>33893750</v>
      </c>
      <c r="E11" s="267"/>
      <c r="F11" s="105"/>
    </row>
    <row r="12" spans="1:11" x14ac:dyDescent="0.3">
      <c r="A12" s="271"/>
      <c r="B12" s="272"/>
      <c r="C12" s="3" t="s">
        <v>312</v>
      </c>
      <c r="D12" s="275">
        <v>21000000</v>
      </c>
      <c r="E12" s="267"/>
      <c r="F12" s="105"/>
    </row>
    <row r="13" spans="1:11" x14ac:dyDescent="0.3">
      <c r="A13" s="271"/>
      <c r="B13" s="272"/>
      <c r="C13" s="27" t="s">
        <v>313</v>
      </c>
      <c r="D13" s="269">
        <f>+D11+D12</f>
        <v>54893750</v>
      </c>
      <c r="E13" s="267"/>
      <c r="F13" s="105"/>
    </row>
    <row r="14" spans="1:11" x14ac:dyDescent="0.3">
      <c r="A14" s="271"/>
      <c r="B14" s="272"/>
      <c r="C14" s="27" t="s">
        <v>48</v>
      </c>
      <c r="D14" s="269">
        <v>328919119</v>
      </c>
      <c r="E14" s="267"/>
      <c r="H14" s="72"/>
    </row>
    <row r="15" spans="1:11" x14ac:dyDescent="0.3">
      <c r="A15" s="273"/>
      <c r="B15" s="274"/>
      <c r="C15" s="27" t="s">
        <v>314</v>
      </c>
      <c r="D15" s="269">
        <f>+D13+D14</f>
        <v>383812869</v>
      </c>
      <c r="E15" s="267"/>
      <c r="H15" s="72"/>
    </row>
    <row r="16" spans="1:11" ht="28.8" customHeight="1" x14ac:dyDescent="0.3">
      <c r="A16" s="276" t="s">
        <v>315</v>
      </c>
      <c r="B16" s="268"/>
      <c r="C16" s="267"/>
      <c r="D16" s="102" t="s">
        <v>316</v>
      </c>
      <c r="E16" s="102" t="s">
        <v>317</v>
      </c>
      <c r="F16" s="102" t="s">
        <v>318</v>
      </c>
      <c r="G16" s="102" t="s">
        <v>319</v>
      </c>
      <c r="H16" s="102" t="s">
        <v>320</v>
      </c>
      <c r="I16" s="102" t="s">
        <v>321</v>
      </c>
      <c r="J16" s="40" t="s">
        <v>322</v>
      </c>
      <c r="K16" s="40" t="s">
        <v>323</v>
      </c>
    </row>
    <row r="17" spans="1:11" ht="14.4" customHeight="1" x14ac:dyDescent="0.3">
      <c r="A17" s="264" t="s">
        <v>54</v>
      </c>
      <c r="B17" s="261" t="s">
        <v>324</v>
      </c>
      <c r="C17" s="13" t="s">
        <v>203</v>
      </c>
      <c r="D17" s="54">
        <v>0</v>
      </c>
      <c r="E17" s="73">
        <v>6712850</v>
      </c>
      <c r="F17" s="109" t="str">
        <f t="shared" ref="F17:F57" si="0">IFERROR(+(E17-D17)/D17,"N/A")</f>
        <v>N/A</v>
      </c>
      <c r="G17" s="36">
        <f t="shared" ref="G17:G48" si="1">+E17/$E$5</f>
        <v>1.715963701431493E-2</v>
      </c>
      <c r="H17" s="36">
        <f t="shared" ref="H17:H48" si="2">+E17/$E$6</f>
        <v>1.715963701431493E-2</v>
      </c>
      <c r="I17" s="36">
        <f t="shared" ref="I17:I48" si="3">+E17/$D$13</f>
        <v>0.12228805647273142</v>
      </c>
      <c r="J17" s="36">
        <f t="shared" ref="J17:J48" si="4">+E17/$D$14</f>
        <v>2.0408816673256381E-2</v>
      </c>
      <c r="K17" s="36">
        <f t="shared" ref="K17:K48" si="5">+E17/$D$15</f>
        <v>1.7489903393520658E-2</v>
      </c>
    </row>
    <row r="18" spans="1:11" x14ac:dyDescent="0.3">
      <c r="A18" s="262"/>
      <c r="B18" s="262"/>
      <c r="C18" s="13" t="s">
        <v>204</v>
      </c>
      <c r="D18" s="54">
        <v>0</v>
      </c>
      <c r="E18" s="73">
        <v>113931</v>
      </c>
      <c r="F18" s="109" t="str">
        <f t="shared" si="0"/>
        <v>N/A</v>
      </c>
      <c r="G18" s="36">
        <f t="shared" si="1"/>
        <v>2.9123466257668712E-4</v>
      </c>
      <c r="H18" s="36">
        <f t="shared" si="2"/>
        <v>2.9123466257668712E-4</v>
      </c>
      <c r="I18" s="36">
        <f t="shared" si="3"/>
        <v>2.0754821814869635E-3</v>
      </c>
      <c r="J18" s="36">
        <f t="shared" si="4"/>
        <v>3.4637998650361216E-4</v>
      </c>
      <c r="K18" s="36">
        <f t="shared" si="5"/>
        <v>2.9683996864628321E-4</v>
      </c>
    </row>
    <row r="19" spans="1:11" x14ac:dyDescent="0.3">
      <c r="A19" s="262"/>
      <c r="B19" s="262"/>
      <c r="C19" s="13" t="s">
        <v>205</v>
      </c>
      <c r="D19" s="54">
        <v>0</v>
      </c>
      <c r="E19" s="73">
        <v>598369.5</v>
      </c>
      <c r="F19" s="109" t="str">
        <f t="shared" si="0"/>
        <v>N/A</v>
      </c>
      <c r="G19" s="36">
        <f t="shared" si="1"/>
        <v>1.5295743865030675E-3</v>
      </c>
      <c r="H19" s="36">
        <f t="shared" si="2"/>
        <v>1.5295743865030675E-3</v>
      </c>
      <c r="I19" s="36">
        <f t="shared" si="3"/>
        <v>1.090050324490493E-2</v>
      </c>
      <c r="J19" s="36">
        <f t="shared" si="4"/>
        <v>1.8191995096520977E-3</v>
      </c>
      <c r="K19" s="36">
        <f t="shared" si="5"/>
        <v>1.5590136452668032E-3</v>
      </c>
    </row>
    <row r="20" spans="1:11" x14ac:dyDescent="0.3">
      <c r="A20" s="262"/>
      <c r="B20" s="262"/>
      <c r="C20" s="13" t="s">
        <v>206</v>
      </c>
      <c r="D20" s="54">
        <v>0</v>
      </c>
      <c r="E20" s="73">
        <v>1452011.5</v>
      </c>
      <c r="F20" s="109" t="str">
        <f t="shared" si="0"/>
        <v>N/A</v>
      </c>
      <c r="G20" s="36">
        <f t="shared" si="1"/>
        <v>3.7116858384458077E-3</v>
      </c>
      <c r="H20" s="36">
        <f t="shared" si="2"/>
        <v>3.7116858384458077E-3</v>
      </c>
      <c r="I20" s="36">
        <f t="shared" si="3"/>
        <v>2.6451308209040191E-2</v>
      </c>
      <c r="J20" s="36">
        <f t="shared" si="4"/>
        <v>4.4144940689811348E-3</v>
      </c>
      <c r="K20" s="36">
        <f t="shared" si="5"/>
        <v>3.7831235408628261E-3</v>
      </c>
    </row>
    <row r="21" spans="1:11" x14ac:dyDescent="0.3">
      <c r="A21" s="262"/>
      <c r="B21" s="262"/>
      <c r="C21" s="13" t="s">
        <v>207</v>
      </c>
      <c r="D21" s="54">
        <v>0</v>
      </c>
      <c r="E21" s="73">
        <v>69255</v>
      </c>
      <c r="F21" s="109" t="str">
        <f t="shared" si="0"/>
        <v>N/A</v>
      </c>
      <c r="G21" s="36">
        <f t="shared" si="1"/>
        <v>1.7703220858895704E-4</v>
      </c>
      <c r="H21" s="36">
        <f t="shared" si="2"/>
        <v>1.7703220858895704E-4</v>
      </c>
      <c r="I21" s="36">
        <f t="shared" si="3"/>
        <v>1.2616190367755891E-3</v>
      </c>
      <c r="J21" s="36">
        <f t="shared" si="4"/>
        <v>2.1055328194527969E-4</v>
      </c>
      <c r="K21" s="36">
        <f t="shared" si="5"/>
        <v>1.8043949433076462E-4</v>
      </c>
    </row>
    <row r="22" spans="1:11" x14ac:dyDescent="0.3">
      <c r="A22" s="262"/>
      <c r="B22" s="262"/>
      <c r="C22" s="13" t="s">
        <v>208</v>
      </c>
      <c r="D22" s="54">
        <v>0</v>
      </c>
      <c r="E22" s="73">
        <v>895921.5</v>
      </c>
      <c r="F22" s="109" t="str">
        <f t="shared" si="0"/>
        <v>N/A</v>
      </c>
      <c r="G22" s="36">
        <f t="shared" si="1"/>
        <v>2.2901878834355829E-3</v>
      </c>
      <c r="H22" s="36">
        <f t="shared" si="2"/>
        <v>2.2901878834355829E-3</v>
      </c>
      <c r="I22" s="36">
        <f t="shared" si="3"/>
        <v>1.6321011044062392E-2</v>
      </c>
      <c r="J22" s="36">
        <f t="shared" si="4"/>
        <v>2.7238352781797401E-3</v>
      </c>
      <c r="K22" s="36">
        <f t="shared" si="5"/>
        <v>2.3342664417018285E-3</v>
      </c>
    </row>
    <row r="23" spans="1:11" x14ac:dyDescent="0.3">
      <c r="A23" s="262"/>
      <c r="B23" s="262"/>
      <c r="C23" s="13" t="s">
        <v>209</v>
      </c>
      <c r="D23" s="54">
        <v>0</v>
      </c>
      <c r="E23" s="73">
        <v>1039323</v>
      </c>
      <c r="F23" s="109" t="str">
        <f t="shared" si="0"/>
        <v>N/A</v>
      </c>
      <c r="G23" s="36">
        <f t="shared" si="1"/>
        <v>2.6567561349693253E-3</v>
      </c>
      <c r="H23" s="36">
        <f t="shared" si="2"/>
        <v>2.6567561349693253E-3</v>
      </c>
      <c r="I23" s="36">
        <f t="shared" si="3"/>
        <v>1.8933357622680176E-2</v>
      </c>
      <c r="J23" s="36">
        <f t="shared" si="4"/>
        <v>3.1598132792031467E-3</v>
      </c>
      <c r="K23" s="36">
        <f t="shared" si="5"/>
        <v>2.7078899222631328E-3</v>
      </c>
    </row>
    <row r="24" spans="1:11" x14ac:dyDescent="0.3">
      <c r="A24" s="262"/>
      <c r="B24" s="262"/>
      <c r="C24" s="13" t="s">
        <v>210</v>
      </c>
      <c r="D24" s="54">
        <v>0</v>
      </c>
      <c r="E24" s="73">
        <v>250000</v>
      </c>
      <c r="F24" s="109" t="str">
        <f t="shared" si="0"/>
        <v>N/A</v>
      </c>
      <c r="G24" s="36">
        <f t="shared" si="1"/>
        <v>6.3905930470347652E-4</v>
      </c>
      <c r="H24" s="36">
        <f t="shared" si="2"/>
        <v>6.3905930470347652E-4</v>
      </c>
      <c r="I24" s="36">
        <f t="shared" si="3"/>
        <v>4.554252533302972E-3</v>
      </c>
      <c r="J24" s="36">
        <f t="shared" si="4"/>
        <v>7.6006527306793619E-4</v>
      </c>
      <c r="K24" s="36">
        <f t="shared" si="5"/>
        <v>6.5135908718058123E-4</v>
      </c>
    </row>
    <row r="25" spans="1:11" x14ac:dyDescent="0.3">
      <c r="A25" s="262"/>
      <c r="B25" s="262"/>
      <c r="C25" s="13" t="s">
        <v>211</v>
      </c>
      <c r="D25" s="54">
        <v>0</v>
      </c>
      <c r="E25" s="73">
        <v>250000</v>
      </c>
      <c r="F25" s="109" t="str">
        <f t="shared" si="0"/>
        <v>N/A</v>
      </c>
      <c r="G25" s="36">
        <f t="shared" si="1"/>
        <v>6.3905930470347652E-4</v>
      </c>
      <c r="H25" s="36">
        <f t="shared" si="2"/>
        <v>6.3905930470347652E-4</v>
      </c>
      <c r="I25" s="36">
        <f t="shared" si="3"/>
        <v>4.554252533302972E-3</v>
      </c>
      <c r="J25" s="36">
        <f t="shared" si="4"/>
        <v>7.6006527306793619E-4</v>
      </c>
      <c r="K25" s="36">
        <f t="shared" si="5"/>
        <v>6.5135908718058123E-4</v>
      </c>
    </row>
    <row r="26" spans="1:11" x14ac:dyDescent="0.3">
      <c r="A26" s="262"/>
      <c r="B26" s="262"/>
      <c r="C26" s="13" t="s">
        <v>214</v>
      </c>
      <c r="D26" s="54">
        <v>0</v>
      </c>
      <c r="E26" s="73">
        <v>121150</v>
      </c>
      <c r="F26" s="109" t="str">
        <f t="shared" si="0"/>
        <v>N/A</v>
      </c>
      <c r="G26" s="36">
        <f t="shared" si="1"/>
        <v>3.0968813905930473E-4</v>
      </c>
      <c r="H26" s="36">
        <f t="shared" si="2"/>
        <v>3.0968813905930473E-4</v>
      </c>
      <c r="I26" s="36">
        <f t="shared" si="3"/>
        <v>2.20699077763862E-3</v>
      </c>
      <c r="J26" s="36">
        <f t="shared" si="4"/>
        <v>3.6832763132872188E-4</v>
      </c>
      <c r="K26" s="36">
        <f t="shared" si="5"/>
        <v>3.1564861364770966E-4</v>
      </c>
    </row>
    <row r="27" spans="1:11" x14ac:dyDescent="0.3">
      <c r="A27" s="262"/>
      <c r="B27" s="262"/>
      <c r="C27" s="13" t="s">
        <v>215</v>
      </c>
      <c r="D27" s="54">
        <v>0</v>
      </c>
      <c r="E27" s="73">
        <v>1262250</v>
      </c>
      <c r="F27" s="109" t="str">
        <f t="shared" si="0"/>
        <v>N/A</v>
      </c>
      <c r="G27" s="36">
        <f t="shared" si="1"/>
        <v>3.2266104294478527E-3</v>
      </c>
      <c r="H27" s="36">
        <f t="shared" si="2"/>
        <v>3.2266104294478527E-3</v>
      </c>
      <c r="I27" s="36">
        <f t="shared" si="3"/>
        <v>2.2994421040646702E-2</v>
      </c>
      <c r="J27" s="36">
        <f t="shared" si="4"/>
        <v>3.8375695637200098E-3</v>
      </c>
      <c r="K27" s="36">
        <f t="shared" si="5"/>
        <v>3.2887120311747547E-3</v>
      </c>
    </row>
    <row r="28" spans="1:11" x14ac:dyDescent="0.3">
      <c r="A28" s="262"/>
      <c r="B28" s="262"/>
      <c r="C28" s="13" t="s">
        <v>216</v>
      </c>
      <c r="D28" s="54">
        <v>0</v>
      </c>
      <c r="E28" s="73">
        <v>2786050</v>
      </c>
      <c r="F28" s="109" t="str">
        <f t="shared" si="0"/>
        <v>N/A</v>
      </c>
      <c r="G28" s="36">
        <f t="shared" si="1"/>
        <v>7.1218047034764826E-3</v>
      </c>
      <c r="H28" s="36">
        <f t="shared" si="2"/>
        <v>7.1218047034764826E-3</v>
      </c>
      <c r="I28" s="36">
        <f t="shared" si="3"/>
        <v>5.0753501081634976E-2</v>
      </c>
      <c r="J28" s="36">
        <f t="shared" si="4"/>
        <v>8.470319416123695E-3</v>
      </c>
      <c r="K28" s="36">
        <f t="shared" si="5"/>
        <v>7.2588759393578334E-3</v>
      </c>
    </row>
    <row r="29" spans="1:11" x14ac:dyDescent="0.3">
      <c r="A29" s="262"/>
      <c r="B29" s="262"/>
      <c r="C29" s="13" t="s">
        <v>217</v>
      </c>
      <c r="D29" s="54">
        <v>0</v>
      </c>
      <c r="E29" s="73">
        <v>725550</v>
      </c>
      <c r="F29" s="109" t="str">
        <f t="shared" si="0"/>
        <v>N/A</v>
      </c>
      <c r="G29" s="36">
        <f t="shared" si="1"/>
        <v>1.8546779141104294E-3</v>
      </c>
      <c r="H29" s="36">
        <f t="shared" si="2"/>
        <v>1.8546779141104294E-3</v>
      </c>
      <c r="I29" s="36">
        <f t="shared" si="3"/>
        <v>1.3217351702151884E-2</v>
      </c>
      <c r="J29" s="36">
        <f t="shared" si="4"/>
        <v>2.2058614354977645E-3</v>
      </c>
      <c r="K29" s="36">
        <f t="shared" si="5"/>
        <v>1.8903743428154828E-3</v>
      </c>
    </row>
    <row r="30" spans="1:11" x14ac:dyDescent="0.3">
      <c r="A30" s="262"/>
      <c r="B30" s="262"/>
      <c r="C30" s="13" t="s">
        <v>218</v>
      </c>
      <c r="D30" s="54">
        <v>0</v>
      </c>
      <c r="E30" s="73">
        <v>260350</v>
      </c>
      <c r="F30" s="109" t="str">
        <f t="shared" si="0"/>
        <v>N/A</v>
      </c>
      <c r="G30" s="36">
        <f t="shared" si="1"/>
        <v>6.6551635991820039E-4</v>
      </c>
      <c r="H30" s="36">
        <f t="shared" si="2"/>
        <v>6.6551635991820039E-4</v>
      </c>
      <c r="I30" s="36">
        <f t="shared" si="3"/>
        <v>4.7427985881817146E-3</v>
      </c>
      <c r="J30" s="36">
        <f t="shared" si="4"/>
        <v>7.915319753729488E-4</v>
      </c>
      <c r="K30" s="36">
        <f t="shared" si="5"/>
        <v>6.7832535338985733E-4</v>
      </c>
    </row>
    <row r="31" spans="1:11" x14ac:dyDescent="0.3">
      <c r="A31" s="262"/>
      <c r="B31" s="262"/>
      <c r="C31" s="13" t="s">
        <v>219</v>
      </c>
      <c r="D31" s="54">
        <v>0</v>
      </c>
      <c r="E31" s="73">
        <v>173750</v>
      </c>
      <c r="F31" s="109" t="str">
        <f t="shared" si="0"/>
        <v>N/A</v>
      </c>
      <c r="G31" s="36">
        <f t="shared" si="1"/>
        <v>4.4414621676891616E-4</v>
      </c>
      <c r="H31" s="36">
        <f t="shared" si="2"/>
        <v>4.4414621676891616E-4</v>
      </c>
      <c r="I31" s="36">
        <f t="shared" si="3"/>
        <v>3.1652055106455653E-3</v>
      </c>
      <c r="J31" s="36">
        <f t="shared" si="4"/>
        <v>5.2824536478221561E-4</v>
      </c>
      <c r="K31" s="36">
        <f t="shared" si="5"/>
        <v>4.5269456559050397E-4</v>
      </c>
    </row>
    <row r="32" spans="1:11" x14ac:dyDescent="0.3">
      <c r="A32" s="262"/>
      <c r="B32" s="262"/>
      <c r="C32" s="13" t="s">
        <v>213</v>
      </c>
      <c r="D32" s="54">
        <v>0</v>
      </c>
      <c r="E32" s="73">
        <v>0</v>
      </c>
      <c r="F32" s="109" t="str">
        <f t="shared" si="0"/>
        <v>N/A</v>
      </c>
      <c r="G32" s="36">
        <f t="shared" si="1"/>
        <v>0</v>
      </c>
      <c r="H32" s="36">
        <f t="shared" si="2"/>
        <v>0</v>
      </c>
      <c r="I32" s="36">
        <f t="shared" si="3"/>
        <v>0</v>
      </c>
      <c r="J32" s="36">
        <f t="shared" si="4"/>
        <v>0</v>
      </c>
      <c r="K32" s="36">
        <f t="shared" si="5"/>
        <v>0</v>
      </c>
    </row>
    <row r="33" spans="1:11" x14ac:dyDescent="0.3">
      <c r="A33" s="262"/>
      <c r="B33" s="262"/>
      <c r="C33" s="13" t="s">
        <v>220</v>
      </c>
      <c r="D33" s="54">
        <v>0</v>
      </c>
      <c r="E33" s="73">
        <v>55800</v>
      </c>
      <c r="F33" s="109" t="str">
        <f t="shared" si="0"/>
        <v>N/A</v>
      </c>
      <c r="G33" s="36">
        <f t="shared" si="1"/>
        <v>1.4263803680981596E-4</v>
      </c>
      <c r="H33" s="36">
        <f t="shared" si="2"/>
        <v>1.4263803680981596E-4</v>
      </c>
      <c r="I33" s="36">
        <f t="shared" si="3"/>
        <v>1.0165091654332232E-3</v>
      </c>
      <c r="J33" s="36">
        <f t="shared" si="4"/>
        <v>1.6964656894876337E-4</v>
      </c>
      <c r="K33" s="36">
        <f t="shared" si="5"/>
        <v>1.4538334825870574E-4</v>
      </c>
    </row>
    <row r="34" spans="1:11" x14ac:dyDescent="0.3">
      <c r="A34" s="262"/>
      <c r="B34" s="262"/>
      <c r="C34" s="13" t="s">
        <v>221</v>
      </c>
      <c r="D34" s="54">
        <v>0</v>
      </c>
      <c r="E34" s="73">
        <v>17765</v>
      </c>
      <c r="F34" s="109" t="str">
        <f t="shared" si="0"/>
        <v>N/A</v>
      </c>
      <c r="G34" s="36">
        <f t="shared" si="1"/>
        <v>4.5411554192229037E-5</v>
      </c>
      <c r="H34" s="36">
        <f t="shared" si="2"/>
        <v>4.5411554192229037E-5</v>
      </c>
      <c r="I34" s="36">
        <f t="shared" si="3"/>
        <v>3.2362518501650919E-4</v>
      </c>
      <c r="J34" s="36">
        <f t="shared" si="4"/>
        <v>5.4010238304207543E-5</v>
      </c>
      <c r="K34" s="36">
        <f t="shared" si="5"/>
        <v>4.6285576735052099E-5</v>
      </c>
    </row>
    <row r="35" spans="1:11" x14ac:dyDescent="0.3">
      <c r="A35" s="262"/>
      <c r="B35" s="256"/>
      <c r="C35" s="19" t="s">
        <v>325</v>
      </c>
      <c r="D35" s="74">
        <v>0</v>
      </c>
      <c r="E35" s="75">
        <v>16784326.5</v>
      </c>
      <c r="F35" s="110" t="str">
        <f t="shared" si="0"/>
        <v>N/A</v>
      </c>
      <c r="G35" s="37">
        <f t="shared" si="1"/>
        <v>4.2904720092024541E-2</v>
      </c>
      <c r="H35" s="37">
        <f t="shared" si="2"/>
        <v>4.2904720092024541E-2</v>
      </c>
      <c r="I35" s="37">
        <f t="shared" si="3"/>
        <v>0.3057602459296368</v>
      </c>
      <c r="J35" s="37">
        <f t="shared" si="4"/>
        <v>5.1028734817935593E-2</v>
      </c>
      <c r="K35" s="37">
        <f t="shared" si="5"/>
        <v>4.373049435192336E-2</v>
      </c>
    </row>
    <row r="36" spans="1:11" ht="14.4" customHeight="1" x14ac:dyDescent="0.3">
      <c r="A36" s="262"/>
      <c r="B36" s="261" t="s">
        <v>326</v>
      </c>
      <c r="C36" s="29" t="s">
        <v>225</v>
      </c>
      <c r="D36" s="76">
        <v>862500</v>
      </c>
      <c r="E36" s="76">
        <v>5275000</v>
      </c>
      <c r="F36" s="109">
        <f t="shared" si="0"/>
        <v>5.1159420289855069</v>
      </c>
      <c r="G36" s="36">
        <f t="shared" si="1"/>
        <v>1.3484151329243355E-2</v>
      </c>
      <c r="H36" s="36">
        <f t="shared" si="2"/>
        <v>1.3484151329243355E-2</v>
      </c>
      <c r="I36" s="36">
        <f t="shared" si="3"/>
        <v>9.6094728452692707E-2</v>
      </c>
      <c r="J36" s="36">
        <f t="shared" si="4"/>
        <v>1.6037377261733453E-2</v>
      </c>
      <c r="K36" s="36">
        <f t="shared" si="5"/>
        <v>1.3743676739510264E-2</v>
      </c>
    </row>
    <row r="37" spans="1:11" x14ac:dyDescent="0.3">
      <c r="A37" s="262"/>
      <c r="B37" s="262"/>
      <c r="C37" s="29" t="s">
        <v>226</v>
      </c>
      <c r="D37" s="76">
        <v>0</v>
      </c>
      <c r="E37" s="76">
        <v>75000</v>
      </c>
      <c r="F37" s="109" t="str">
        <f t="shared" si="0"/>
        <v>N/A</v>
      </c>
      <c r="G37" s="36">
        <f t="shared" si="1"/>
        <v>1.9171779141104295E-4</v>
      </c>
      <c r="H37" s="36">
        <f t="shared" si="2"/>
        <v>1.9171779141104295E-4</v>
      </c>
      <c r="I37" s="36">
        <f t="shared" si="3"/>
        <v>1.3662757599908915E-3</v>
      </c>
      <c r="J37" s="36">
        <f t="shared" si="4"/>
        <v>2.2801958192038085E-4</v>
      </c>
      <c r="K37" s="36">
        <f t="shared" si="5"/>
        <v>1.9540772615417437E-4</v>
      </c>
    </row>
    <row r="38" spans="1:11" x14ac:dyDescent="0.3">
      <c r="A38" s="262"/>
      <c r="B38" s="262"/>
      <c r="C38" s="29" t="s">
        <v>227</v>
      </c>
      <c r="D38" s="76">
        <v>4149500</v>
      </c>
      <c r="E38" s="76">
        <v>175050</v>
      </c>
      <c r="F38" s="109">
        <f t="shared" si="0"/>
        <v>-0.95781419448126282</v>
      </c>
      <c r="G38" s="36">
        <f t="shared" si="1"/>
        <v>4.4746932515337426E-4</v>
      </c>
      <c r="H38" s="36">
        <f t="shared" si="2"/>
        <v>4.4746932515337426E-4</v>
      </c>
      <c r="I38" s="36">
        <f t="shared" si="3"/>
        <v>3.1888876238187406E-3</v>
      </c>
      <c r="J38" s="36">
        <f t="shared" si="4"/>
        <v>5.321977042021689E-4</v>
      </c>
      <c r="K38" s="36">
        <f t="shared" si="5"/>
        <v>4.5608163284384298E-4</v>
      </c>
    </row>
    <row r="39" spans="1:11" x14ac:dyDescent="0.3">
      <c r="A39" s="262"/>
      <c r="B39" s="262"/>
      <c r="C39" s="29" t="s">
        <v>228</v>
      </c>
      <c r="D39" s="76">
        <v>199500</v>
      </c>
      <c r="E39" s="76">
        <v>371796</v>
      </c>
      <c r="F39" s="109">
        <f t="shared" si="0"/>
        <v>0.86363909774436087</v>
      </c>
      <c r="G39" s="36">
        <f t="shared" si="1"/>
        <v>9.5039877300613499E-4</v>
      </c>
      <c r="H39" s="36">
        <f t="shared" si="2"/>
        <v>9.5039877300613499E-4</v>
      </c>
      <c r="I39" s="36">
        <f t="shared" si="3"/>
        <v>6.7730114994876463E-3</v>
      </c>
      <c r="J39" s="36">
        <f t="shared" si="4"/>
        <v>1.1303569130622657E-3</v>
      </c>
      <c r="K39" s="36">
        <f t="shared" si="5"/>
        <v>9.6869081270956547E-4</v>
      </c>
    </row>
    <row r="40" spans="1:11" x14ac:dyDescent="0.3">
      <c r="A40" s="262"/>
      <c r="B40" s="262"/>
      <c r="C40" s="29" t="s">
        <v>232</v>
      </c>
      <c r="D40" s="76">
        <v>397700</v>
      </c>
      <c r="E40" s="76">
        <v>447698</v>
      </c>
      <c r="F40" s="109">
        <f t="shared" si="0"/>
        <v>0.12571787779733468</v>
      </c>
      <c r="G40" s="36">
        <f t="shared" si="1"/>
        <v>1.144422290388548E-3</v>
      </c>
      <c r="H40" s="36">
        <f t="shared" si="2"/>
        <v>1.144422290388548E-3</v>
      </c>
      <c r="I40" s="36">
        <f t="shared" si="3"/>
        <v>8.1557190026186957E-3</v>
      </c>
      <c r="J40" s="36">
        <f t="shared" si="4"/>
        <v>1.3611188104878755E-3</v>
      </c>
      <c r="K40" s="36">
        <f t="shared" si="5"/>
        <v>1.1664486424502875E-3</v>
      </c>
    </row>
    <row r="41" spans="1:11" x14ac:dyDescent="0.3">
      <c r="A41" s="262"/>
      <c r="B41" s="262"/>
      <c r="C41" s="29" t="s">
        <v>234</v>
      </c>
      <c r="D41" s="76">
        <v>0</v>
      </c>
      <c r="E41" s="76">
        <v>25650</v>
      </c>
      <c r="F41" s="109" t="str">
        <f t="shared" si="0"/>
        <v>N/A</v>
      </c>
      <c r="G41" s="36">
        <f t="shared" si="1"/>
        <v>6.5567484662576691E-5</v>
      </c>
      <c r="H41" s="36">
        <f t="shared" si="2"/>
        <v>6.5567484662576691E-5</v>
      </c>
      <c r="I41" s="36">
        <f t="shared" si="3"/>
        <v>4.6726630991688489E-4</v>
      </c>
      <c r="J41" s="36">
        <f t="shared" si="4"/>
        <v>7.7982697016770256E-5</v>
      </c>
      <c r="K41" s="36">
        <f t="shared" si="5"/>
        <v>6.682944234472764E-5</v>
      </c>
    </row>
    <row r="42" spans="1:11" x14ac:dyDescent="0.3">
      <c r="A42" s="262"/>
      <c r="B42" s="262"/>
      <c r="C42" s="29" t="s">
        <v>235</v>
      </c>
      <c r="D42" s="76">
        <v>32700</v>
      </c>
      <c r="E42" s="76">
        <v>140000</v>
      </c>
      <c r="F42" s="109">
        <f t="shared" si="0"/>
        <v>3.2813455657492354</v>
      </c>
      <c r="G42" s="36">
        <f t="shared" si="1"/>
        <v>3.5787321063394684E-4</v>
      </c>
      <c r="H42" s="36">
        <f t="shared" si="2"/>
        <v>3.5787321063394684E-4</v>
      </c>
      <c r="I42" s="36">
        <f t="shared" si="3"/>
        <v>2.550381418649664E-3</v>
      </c>
      <c r="J42" s="36">
        <f t="shared" si="4"/>
        <v>4.2563655291804426E-4</v>
      </c>
      <c r="K42" s="36">
        <f t="shared" si="5"/>
        <v>3.6476108882112549E-4</v>
      </c>
    </row>
    <row r="43" spans="1:11" x14ac:dyDescent="0.3">
      <c r="A43" s="262"/>
      <c r="B43" s="262"/>
      <c r="C43" s="29" t="s">
        <v>236</v>
      </c>
      <c r="D43" s="76">
        <v>0</v>
      </c>
      <c r="E43" s="76">
        <v>250000</v>
      </c>
      <c r="F43" s="109" t="str">
        <f t="shared" si="0"/>
        <v>N/A</v>
      </c>
      <c r="G43" s="36">
        <f t="shared" si="1"/>
        <v>6.3905930470347652E-4</v>
      </c>
      <c r="H43" s="36">
        <f t="shared" si="2"/>
        <v>6.3905930470347652E-4</v>
      </c>
      <c r="I43" s="36">
        <f t="shared" si="3"/>
        <v>4.554252533302972E-3</v>
      </c>
      <c r="J43" s="36">
        <f t="shared" si="4"/>
        <v>7.6006527306793619E-4</v>
      </c>
      <c r="K43" s="36">
        <f t="shared" si="5"/>
        <v>6.5135908718058123E-4</v>
      </c>
    </row>
    <row r="44" spans="1:11" x14ac:dyDescent="0.3">
      <c r="A44" s="262"/>
      <c r="B44" s="262"/>
      <c r="C44" s="29" t="s">
        <v>237</v>
      </c>
      <c r="D44" s="76">
        <v>0</v>
      </c>
      <c r="E44" s="76">
        <v>100000</v>
      </c>
      <c r="F44" s="109" t="str">
        <f t="shared" si="0"/>
        <v>N/A</v>
      </c>
      <c r="G44" s="36">
        <f t="shared" si="1"/>
        <v>2.5562372188139062E-4</v>
      </c>
      <c r="H44" s="36">
        <f t="shared" si="2"/>
        <v>2.5562372188139062E-4</v>
      </c>
      <c r="I44" s="36">
        <f t="shared" si="3"/>
        <v>1.8217010133211886E-3</v>
      </c>
      <c r="J44" s="36">
        <f t="shared" si="4"/>
        <v>3.040261092271745E-4</v>
      </c>
      <c r="K44" s="36">
        <f t="shared" si="5"/>
        <v>2.6054363487223249E-4</v>
      </c>
    </row>
    <row r="45" spans="1:11" x14ac:dyDescent="0.3">
      <c r="A45" s="262"/>
      <c r="B45" s="262"/>
      <c r="C45" s="29" t="s">
        <v>239</v>
      </c>
      <c r="D45" s="76">
        <v>241000</v>
      </c>
      <c r="E45" s="76">
        <v>104500</v>
      </c>
      <c r="F45" s="109">
        <f t="shared" si="0"/>
        <v>-0.56639004149377592</v>
      </c>
      <c r="G45" s="36">
        <f t="shared" si="1"/>
        <v>2.6712678936605317E-4</v>
      </c>
      <c r="H45" s="36">
        <f t="shared" si="2"/>
        <v>2.6712678936605317E-4</v>
      </c>
      <c r="I45" s="36">
        <f t="shared" si="3"/>
        <v>1.9036775589206421E-3</v>
      </c>
      <c r="J45" s="36">
        <f t="shared" si="4"/>
        <v>3.1770728414239735E-4</v>
      </c>
      <c r="K45" s="36">
        <f t="shared" si="5"/>
        <v>2.7226809844148293E-4</v>
      </c>
    </row>
    <row r="46" spans="1:11" x14ac:dyDescent="0.3">
      <c r="A46" s="262"/>
      <c r="B46" s="262"/>
      <c r="C46" s="29" t="s">
        <v>241</v>
      </c>
      <c r="D46" s="76">
        <v>285000</v>
      </c>
      <c r="E46" s="76">
        <v>280000</v>
      </c>
      <c r="F46" s="109">
        <f t="shared" si="0"/>
        <v>-1.7543859649122806E-2</v>
      </c>
      <c r="G46" s="36">
        <f t="shared" si="1"/>
        <v>7.1574642126789368E-4</v>
      </c>
      <c r="H46" s="36">
        <f t="shared" si="2"/>
        <v>7.1574642126789368E-4</v>
      </c>
      <c r="I46" s="36">
        <f t="shared" si="3"/>
        <v>5.100762837299328E-3</v>
      </c>
      <c r="J46" s="36">
        <f t="shared" si="4"/>
        <v>8.5127310583608853E-4</v>
      </c>
      <c r="K46" s="36">
        <f t="shared" si="5"/>
        <v>7.2952217764225098E-4</v>
      </c>
    </row>
    <row r="47" spans="1:11" x14ac:dyDescent="0.3">
      <c r="A47" s="262"/>
      <c r="B47" s="262"/>
      <c r="C47" s="29" t="s">
        <v>243</v>
      </c>
      <c r="D47" s="76">
        <v>155681</v>
      </c>
      <c r="E47" s="76">
        <v>67815</v>
      </c>
      <c r="F47" s="109">
        <f t="shared" si="0"/>
        <v>-0.56439771070329714</v>
      </c>
      <c r="G47" s="36">
        <f t="shared" si="1"/>
        <v>1.7335122699386503E-4</v>
      </c>
      <c r="H47" s="36">
        <f t="shared" si="2"/>
        <v>1.7335122699386503E-4</v>
      </c>
      <c r="I47" s="36">
        <f t="shared" si="3"/>
        <v>1.235386542183764E-3</v>
      </c>
      <c r="J47" s="36">
        <f t="shared" si="4"/>
        <v>2.0617530597240836E-4</v>
      </c>
      <c r="K47" s="36">
        <f t="shared" si="5"/>
        <v>1.7668766598860446E-4</v>
      </c>
    </row>
    <row r="48" spans="1:11" x14ac:dyDescent="0.3">
      <c r="A48" s="262"/>
      <c r="B48" s="262"/>
      <c r="C48" s="29" t="s">
        <v>244</v>
      </c>
      <c r="D48" s="76">
        <v>24000</v>
      </c>
      <c r="E48" s="76">
        <v>25000</v>
      </c>
      <c r="F48" s="109">
        <f t="shared" si="0"/>
        <v>4.1666666666666664E-2</v>
      </c>
      <c r="G48" s="36">
        <f t="shared" si="1"/>
        <v>6.3905930470347654E-5</v>
      </c>
      <c r="H48" s="36">
        <f t="shared" si="2"/>
        <v>6.3905930470347654E-5</v>
      </c>
      <c r="I48" s="36">
        <f t="shared" si="3"/>
        <v>4.5542525333029714E-4</v>
      </c>
      <c r="J48" s="36">
        <f t="shared" si="4"/>
        <v>7.6006527306793625E-5</v>
      </c>
      <c r="K48" s="36">
        <f t="shared" si="5"/>
        <v>6.5135908718058123E-5</v>
      </c>
    </row>
    <row r="49" spans="1:11" x14ac:dyDescent="0.3">
      <c r="A49" s="262"/>
      <c r="B49" s="262"/>
      <c r="C49" s="29" t="s">
        <v>245</v>
      </c>
      <c r="D49" s="76">
        <v>163100</v>
      </c>
      <c r="E49" s="76">
        <v>81400</v>
      </c>
      <c r="F49" s="109">
        <f t="shared" si="0"/>
        <v>-0.50091968117719188</v>
      </c>
      <c r="G49" s="36">
        <f t="shared" ref="G49:G80" si="6">+E49/$E$5</f>
        <v>2.0807770961145194E-4</v>
      </c>
      <c r="H49" s="36">
        <f t="shared" ref="H49:H80" si="7">+E49/$E$6</f>
        <v>2.0807770961145194E-4</v>
      </c>
      <c r="I49" s="36">
        <f t="shared" ref="I49:I80" si="8">+E49/$D$13</f>
        <v>1.4828646248434476E-3</v>
      </c>
      <c r="J49" s="36">
        <f t="shared" ref="J49:J80" si="9">+E49/$D$14</f>
        <v>2.4747725291092003E-4</v>
      </c>
      <c r="K49" s="36">
        <f t="shared" ref="K49:K80" si="10">+E49/$D$15</f>
        <v>2.1208251878599725E-4</v>
      </c>
    </row>
    <row r="50" spans="1:11" x14ac:dyDescent="0.3">
      <c r="A50" s="262"/>
      <c r="B50" s="262"/>
      <c r="C50" s="29" t="s">
        <v>246</v>
      </c>
      <c r="D50" s="76">
        <v>732846</v>
      </c>
      <c r="E50" s="76">
        <v>2083220</v>
      </c>
      <c r="F50" s="109">
        <f t="shared" si="0"/>
        <v>1.8426436113453577</v>
      </c>
      <c r="G50" s="36">
        <f t="shared" si="6"/>
        <v>5.3252044989775052E-3</v>
      </c>
      <c r="H50" s="36">
        <f t="shared" si="7"/>
        <v>5.3252044989775052E-3</v>
      </c>
      <c r="I50" s="36">
        <f t="shared" si="8"/>
        <v>3.7950039849709669E-2</v>
      </c>
      <c r="J50" s="36">
        <f t="shared" si="9"/>
        <v>6.3335327126423438E-3</v>
      </c>
      <c r="K50" s="36">
        <f t="shared" si="10"/>
        <v>5.427697110385322E-3</v>
      </c>
    </row>
    <row r="51" spans="1:11" x14ac:dyDescent="0.3">
      <c r="A51" s="262"/>
      <c r="B51" s="262"/>
      <c r="C51" s="29" t="s">
        <v>251</v>
      </c>
      <c r="D51" s="76">
        <v>0</v>
      </c>
      <c r="E51" s="76">
        <v>775000</v>
      </c>
      <c r="F51" s="109" t="str">
        <f t="shared" si="0"/>
        <v>N/A</v>
      </c>
      <c r="G51" s="36">
        <f t="shared" si="6"/>
        <v>1.9810838445807771E-3</v>
      </c>
      <c r="H51" s="36">
        <f t="shared" si="7"/>
        <v>1.9810838445807771E-3</v>
      </c>
      <c r="I51" s="36">
        <f t="shared" si="8"/>
        <v>1.4118182853239212E-2</v>
      </c>
      <c r="J51" s="36">
        <f t="shared" si="9"/>
        <v>2.3562023465106023E-3</v>
      </c>
      <c r="K51" s="36">
        <f t="shared" si="10"/>
        <v>2.0192131702598017E-3</v>
      </c>
    </row>
    <row r="52" spans="1:11" x14ac:dyDescent="0.3">
      <c r="A52" s="262"/>
      <c r="B52" s="262"/>
      <c r="C52" s="29" t="s">
        <v>253</v>
      </c>
      <c r="D52" s="76">
        <v>0</v>
      </c>
      <c r="E52" s="76">
        <v>208000</v>
      </c>
      <c r="F52" s="109" t="str">
        <f t="shared" si="0"/>
        <v>N/A</v>
      </c>
      <c r="G52" s="36">
        <f t="shared" si="6"/>
        <v>5.3169734151329239E-4</v>
      </c>
      <c r="H52" s="36">
        <f t="shared" si="7"/>
        <v>5.3169734151329239E-4</v>
      </c>
      <c r="I52" s="36">
        <f t="shared" si="8"/>
        <v>3.7891381077080726E-3</v>
      </c>
      <c r="J52" s="36">
        <f t="shared" si="9"/>
        <v>6.3237430719252294E-4</v>
      </c>
      <c r="K52" s="36">
        <f t="shared" si="10"/>
        <v>5.4193076053424358E-4</v>
      </c>
    </row>
    <row r="53" spans="1:11" x14ac:dyDescent="0.3">
      <c r="A53" s="262"/>
      <c r="B53" s="262"/>
      <c r="C53" s="29" t="s">
        <v>255</v>
      </c>
      <c r="D53" s="76">
        <v>1250000</v>
      </c>
      <c r="E53" s="76">
        <v>1041667</v>
      </c>
      <c r="F53" s="109">
        <f t="shared" si="0"/>
        <v>-0.16666639999999999</v>
      </c>
      <c r="G53" s="36">
        <f t="shared" si="6"/>
        <v>2.662747955010225E-3</v>
      </c>
      <c r="H53" s="36">
        <f t="shared" si="7"/>
        <v>2.662747955010225E-3</v>
      </c>
      <c r="I53" s="36">
        <f t="shared" si="8"/>
        <v>1.8976058294432427E-2</v>
      </c>
      <c r="J53" s="36">
        <f t="shared" si="9"/>
        <v>3.1669396512034316E-3</v>
      </c>
      <c r="K53" s="36">
        <f t="shared" si="10"/>
        <v>2.7139970650645381E-3</v>
      </c>
    </row>
    <row r="54" spans="1:11" x14ac:dyDescent="0.3">
      <c r="A54" s="262"/>
      <c r="B54" s="262"/>
      <c r="C54" s="18" t="s">
        <v>260</v>
      </c>
      <c r="D54" s="76">
        <v>1222618</v>
      </c>
      <c r="E54" s="76">
        <v>162070</v>
      </c>
      <c r="F54" s="109">
        <f t="shared" si="0"/>
        <v>-0.86744019800133809</v>
      </c>
      <c r="G54" s="36">
        <f t="shared" si="6"/>
        <v>4.1428936605316974E-4</v>
      </c>
      <c r="H54" s="36">
        <f t="shared" si="7"/>
        <v>4.1428936605316974E-4</v>
      </c>
      <c r="I54" s="36">
        <f t="shared" si="8"/>
        <v>2.9524308322896506E-3</v>
      </c>
      <c r="J54" s="36">
        <f t="shared" si="9"/>
        <v>4.9273511522448165E-4</v>
      </c>
      <c r="K54" s="36">
        <f t="shared" si="10"/>
        <v>4.2226306903742718E-4</v>
      </c>
    </row>
    <row r="55" spans="1:11" x14ac:dyDescent="0.3">
      <c r="A55" s="262"/>
      <c r="B55" s="262"/>
      <c r="C55" s="18" t="s">
        <v>261</v>
      </c>
      <c r="D55" s="76">
        <v>0</v>
      </c>
      <c r="E55" s="76">
        <v>6904</v>
      </c>
      <c r="F55" s="109" t="str">
        <f t="shared" si="0"/>
        <v>N/A</v>
      </c>
      <c r="G55" s="36">
        <f t="shared" si="6"/>
        <v>1.7648261758691207E-5</v>
      </c>
      <c r="H55" s="36">
        <f t="shared" si="7"/>
        <v>1.7648261758691207E-5</v>
      </c>
      <c r="I55" s="36">
        <f t="shared" si="8"/>
        <v>1.2577023795969487E-4</v>
      </c>
      <c r="J55" s="36">
        <f t="shared" si="9"/>
        <v>2.0989962581044127E-5</v>
      </c>
      <c r="K55" s="36">
        <f t="shared" si="10"/>
        <v>1.7987932551578929E-5</v>
      </c>
    </row>
    <row r="56" spans="1:11" x14ac:dyDescent="0.3">
      <c r="A56" s="262"/>
      <c r="B56" s="262"/>
      <c r="C56" s="22" t="s">
        <v>263</v>
      </c>
      <c r="D56" s="76">
        <v>2480000</v>
      </c>
      <c r="E56" s="76">
        <v>0</v>
      </c>
      <c r="F56" s="109">
        <f t="shared" si="0"/>
        <v>-1</v>
      </c>
      <c r="G56" s="36">
        <f t="shared" si="6"/>
        <v>0</v>
      </c>
      <c r="H56" s="36">
        <f t="shared" si="7"/>
        <v>0</v>
      </c>
      <c r="I56" s="36">
        <f t="shared" si="8"/>
        <v>0</v>
      </c>
      <c r="J56" s="36">
        <f t="shared" si="9"/>
        <v>0</v>
      </c>
      <c r="K56" s="36">
        <f t="shared" si="10"/>
        <v>0</v>
      </c>
    </row>
    <row r="57" spans="1:11" x14ac:dyDescent="0.3">
      <c r="A57" s="262"/>
      <c r="B57" s="256"/>
      <c r="C57" s="19" t="s">
        <v>327</v>
      </c>
      <c r="D57" s="74">
        <v>12196145</v>
      </c>
      <c r="E57" s="74">
        <f>SUM(E36:E56)</f>
        <v>11695770</v>
      </c>
      <c r="F57" s="110">
        <f t="shared" si="0"/>
        <v>-4.1027308219113497E-2</v>
      </c>
      <c r="G57" s="37">
        <f t="shared" si="6"/>
        <v>2.9897162576687116E-2</v>
      </c>
      <c r="H57" s="37">
        <f t="shared" si="7"/>
        <v>2.9897162576687116E-2</v>
      </c>
      <c r="I57" s="37">
        <f t="shared" si="8"/>
        <v>0.21306196060571558</v>
      </c>
      <c r="J57" s="37">
        <f t="shared" si="9"/>
        <v>3.5558194475159108E-2</v>
      </c>
      <c r="K57" s="37">
        <f t="shared" si="10"/>
        <v>3.0472584284296104E-2</v>
      </c>
    </row>
    <row r="58" spans="1:11" ht="18" customHeight="1" x14ac:dyDescent="0.35">
      <c r="A58" s="262"/>
      <c r="B58" s="266" t="s">
        <v>328</v>
      </c>
      <c r="C58" s="267"/>
      <c r="D58" s="77">
        <v>12196145</v>
      </c>
      <c r="E58" s="77">
        <f>+E35+E57</f>
        <v>28480096.5</v>
      </c>
      <c r="F58" s="111">
        <f>+(E58-D58)/D58</f>
        <v>1.3351720154196265</v>
      </c>
      <c r="G58" s="38">
        <f t="shared" si="6"/>
        <v>7.2801882668711654E-2</v>
      </c>
      <c r="H58" s="38">
        <f t="shared" si="7"/>
        <v>7.2801882668711654E-2</v>
      </c>
      <c r="I58" s="38">
        <f t="shared" si="8"/>
        <v>0.51882220653535238</v>
      </c>
      <c r="J58" s="38">
        <f t="shared" si="9"/>
        <v>8.6586929293094694E-2</v>
      </c>
      <c r="K58" s="38">
        <f t="shared" si="10"/>
        <v>7.4203078636219458E-2</v>
      </c>
    </row>
    <row r="59" spans="1:11" x14ac:dyDescent="0.3">
      <c r="A59" s="262"/>
      <c r="B59" s="261" t="s">
        <v>329</v>
      </c>
      <c r="C59" s="13" t="s">
        <v>330</v>
      </c>
      <c r="D59" s="76">
        <v>0</v>
      </c>
      <c r="E59" s="76">
        <v>1961787</v>
      </c>
      <c r="F59" s="109" t="str">
        <f t="shared" ref="F59:F90" si="11">IFERROR(+(E59-D59)/D59,"N/A")</f>
        <v>N/A</v>
      </c>
      <c r="G59" s="36">
        <f t="shared" si="6"/>
        <v>5.0147929447852757E-3</v>
      </c>
      <c r="H59" s="36">
        <f t="shared" si="7"/>
        <v>5.0147929447852757E-3</v>
      </c>
      <c r="I59" s="36">
        <f t="shared" si="8"/>
        <v>3.5737893658203346E-2</v>
      </c>
      <c r="J59" s="36">
        <f t="shared" si="9"/>
        <v>5.9643446874245096E-3</v>
      </c>
      <c r="K59" s="36">
        <f t="shared" si="10"/>
        <v>5.111311158250924E-3</v>
      </c>
    </row>
    <row r="60" spans="1:11" x14ac:dyDescent="0.3">
      <c r="A60" s="262"/>
      <c r="B60" s="262"/>
      <c r="C60" s="15" t="s">
        <v>331</v>
      </c>
      <c r="D60" s="76">
        <v>54361856</v>
      </c>
      <c r="E60" s="76">
        <v>38797886</v>
      </c>
      <c r="F60" s="109">
        <f t="shared" si="11"/>
        <v>-0.28630313873021551</v>
      </c>
      <c r="G60" s="36">
        <f t="shared" si="6"/>
        <v>9.9176600204498977E-2</v>
      </c>
      <c r="H60" s="36">
        <f t="shared" si="7"/>
        <v>9.9176600204498977E-2</v>
      </c>
      <c r="I60" s="36">
        <f t="shared" si="8"/>
        <v>0.70678148240919958</v>
      </c>
      <c r="J60" s="36">
        <f t="shared" si="9"/>
        <v>0.11795570326819463</v>
      </c>
      <c r="K60" s="36">
        <f t="shared" si="10"/>
        <v>0.101085422437985</v>
      </c>
    </row>
    <row r="61" spans="1:11" ht="17.399999999999999" customHeight="1" x14ac:dyDescent="0.3">
      <c r="A61" s="256"/>
      <c r="B61" s="256"/>
      <c r="C61" s="19" t="s">
        <v>332</v>
      </c>
      <c r="D61" s="78">
        <v>54361856</v>
      </c>
      <c r="E61" s="74">
        <f>SUM(E59:E60)</f>
        <v>40759673</v>
      </c>
      <c r="F61" s="110">
        <f t="shared" si="11"/>
        <v>-0.25021557394949873</v>
      </c>
      <c r="G61" s="37">
        <f t="shared" si="6"/>
        <v>0.10419139314928426</v>
      </c>
      <c r="H61" s="37">
        <f t="shared" si="7"/>
        <v>0.10419139314928426</v>
      </c>
      <c r="I61" s="37">
        <f t="shared" si="8"/>
        <v>0.74251937606740293</v>
      </c>
      <c r="J61" s="37">
        <f t="shared" si="9"/>
        <v>0.12392004795561914</v>
      </c>
      <c r="K61" s="37">
        <f t="shared" si="10"/>
        <v>0.10619673359623594</v>
      </c>
    </row>
    <row r="62" spans="1:11" ht="14.4" customHeight="1" x14ac:dyDescent="0.3">
      <c r="A62" s="264" t="s">
        <v>333</v>
      </c>
      <c r="B62" s="261" t="s">
        <v>334</v>
      </c>
      <c r="C62" s="29" t="s">
        <v>131</v>
      </c>
      <c r="D62" s="76">
        <v>26601395</v>
      </c>
      <c r="E62" s="79">
        <v>22254254</v>
      </c>
      <c r="F62" s="109">
        <f t="shared" si="11"/>
        <v>-0.163417783165131</v>
      </c>
      <c r="G62" s="36">
        <f t="shared" si="6"/>
        <v>5.6887152351738239E-2</v>
      </c>
      <c r="H62" s="36">
        <f t="shared" si="7"/>
        <v>5.6887152351738239E-2</v>
      </c>
      <c r="I62" s="36">
        <f t="shared" si="8"/>
        <v>0.40540597062507117</v>
      </c>
      <c r="J62" s="36">
        <f t="shared" si="9"/>
        <v>6.7658742573732847E-2</v>
      </c>
      <c r="K62" s="36">
        <f t="shared" si="10"/>
        <v>5.7982042285299192E-2</v>
      </c>
    </row>
    <row r="63" spans="1:11" x14ac:dyDescent="0.3">
      <c r="A63" s="262"/>
      <c r="B63" s="262"/>
      <c r="C63" s="29" t="s">
        <v>132</v>
      </c>
      <c r="D63" s="76">
        <v>1443736</v>
      </c>
      <c r="E63" s="79">
        <v>1037960</v>
      </c>
      <c r="F63" s="109">
        <f t="shared" si="11"/>
        <v>-0.28105969512431633</v>
      </c>
      <c r="G63" s="36">
        <f t="shared" si="6"/>
        <v>2.6532719836400817E-3</v>
      </c>
      <c r="H63" s="36">
        <f t="shared" si="7"/>
        <v>2.6532719836400817E-3</v>
      </c>
      <c r="I63" s="36">
        <f t="shared" si="8"/>
        <v>1.8908527837868609E-2</v>
      </c>
      <c r="J63" s="36">
        <f t="shared" si="9"/>
        <v>3.1556694033343801E-3</v>
      </c>
      <c r="K63" s="36">
        <f t="shared" si="10"/>
        <v>2.7043387125198245E-3</v>
      </c>
    </row>
    <row r="64" spans="1:11" x14ac:dyDescent="0.3">
      <c r="A64" s="262"/>
      <c r="B64" s="262"/>
      <c r="C64" s="18" t="s">
        <v>137</v>
      </c>
      <c r="D64" s="76">
        <v>600000</v>
      </c>
      <c r="E64" s="79">
        <v>600000</v>
      </c>
      <c r="F64" s="109">
        <f t="shared" si="11"/>
        <v>0</v>
      </c>
      <c r="G64" s="36">
        <f t="shared" si="6"/>
        <v>1.5337423312883436E-3</v>
      </c>
      <c r="H64" s="36">
        <f t="shared" si="7"/>
        <v>1.5337423312883436E-3</v>
      </c>
      <c r="I64" s="36">
        <f t="shared" si="8"/>
        <v>1.0930206079927132E-2</v>
      </c>
      <c r="J64" s="36">
        <f t="shared" si="9"/>
        <v>1.8241566553630468E-3</v>
      </c>
      <c r="K64" s="36">
        <f t="shared" si="10"/>
        <v>1.563261809233395E-3</v>
      </c>
    </row>
    <row r="65" spans="1:11" x14ac:dyDescent="0.3">
      <c r="A65" s="262"/>
      <c r="B65" s="262"/>
      <c r="C65" s="29" t="s">
        <v>138</v>
      </c>
      <c r="D65" s="76">
        <v>2338428</v>
      </c>
      <c r="E65" s="79">
        <v>940230</v>
      </c>
      <c r="F65" s="109">
        <f t="shared" si="11"/>
        <v>-0.59792219388409651</v>
      </c>
      <c r="G65" s="36">
        <f t="shared" si="6"/>
        <v>2.4034509202453987E-3</v>
      </c>
      <c r="H65" s="36">
        <f t="shared" si="7"/>
        <v>2.4034509202453987E-3</v>
      </c>
      <c r="I65" s="36">
        <f t="shared" si="8"/>
        <v>1.7128179437549813E-2</v>
      </c>
      <c r="J65" s="36">
        <f t="shared" si="9"/>
        <v>2.8585446867866625E-3</v>
      </c>
      <c r="K65" s="36">
        <f t="shared" si="10"/>
        <v>2.4497094181591917E-3</v>
      </c>
    </row>
    <row r="66" spans="1:11" x14ac:dyDescent="0.3">
      <c r="A66" s="262"/>
      <c r="B66" s="262"/>
      <c r="C66" s="29" t="s">
        <v>139</v>
      </c>
      <c r="D66" s="76">
        <v>2811529</v>
      </c>
      <c r="E66" s="79">
        <v>1966960</v>
      </c>
      <c r="F66" s="109">
        <f t="shared" si="11"/>
        <v>-0.30039490967370425</v>
      </c>
      <c r="G66" s="36">
        <f t="shared" si="6"/>
        <v>5.0280163599182E-3</v>
      </c>
      <c r="H66" s="36">
        <f t="shared" si="7"/>
        <v>5.0280163599182E-3</v>
      </c>
      <c r="I66" s="36">
        <f t="shared" si="8"/>
        <v>3.5832130251622456E-2</v>
      </c>
      <c r="J66" s="36">
        <f t="shared" si="9"/>
        <v>5.9800719580548308E-3</v>
      </c>
      <c r="K66" s="36">
        <f t="shared" si="10"/>
        <v>5.1247890804828646E-3</v>
      </c>
    </row>
    <row r="67" spans="1:11" x14ac:dyDescent="0.3">
      <c r="A67" s="262"/>
      <c r="B67" s="262"/>
      <c r="C67" s="29" t="s">
        <v>140</v>
      </c>
      <c r="D67" s="76">
        <v>2354166</v>
      </c>
      <c r="E67" s="79">
        <v>1966960</v>
      </c>
      <c r="F67" s="109">
        <f t="shared" si="11"/>
        <v>-0.16447693153329035</v>
      </c>
      <c r="G67" s="36">
        <f t="shared" si="6"/>
        <v>5.0280163599182E-3</v>
      </c>
      <c r="H67" s="36">
        <f t="shared" si="7"/>
        <v>5.0280163599182E-3</v>
      </c>
      <c r="I67" s="36">
        <f t="shared" si="8"/>
        <v>3.5832130251622456E-2</v>
      </c>
      <c r="J67" s="36">
        <f t="shared" si="9"/>
        <v>5.9800719580548308E-3</v>
      </c>
      <c r="K67" s="36">
        <f t="shared" si="10"/>
        <v>5.1247890804828646E-3</v>
      </c>
    </row>
    <row r="68" spans="1:11" x14ac:dyDescent="0.3">
      <c r="A68" s="262"/>
      <c r="B68" s="262"/>
      <c r="C68" s="29" t="s">
        <v>141</v>
      </c>
      <c r="D68" s="76">
        <v>264170</v>
      </c>
      <c r="E68" s="79">
        <v>236045</v>
      </c>
      <c r="F68" s="109">
        <f t="shared" si="11"/>
        <v>-0.10646553355793617</v>
      </c>
      <c r="G68" s="36">
        <f t="shared" si="6"/>
        <v>6.0338701431492841E-4</v>
      </c>
      <c r="H68" s="36">
        <f t="shared" si="7"/>
        <v>6.0338701431492841E-4</v>
      </c>
      <c r="I68" s="36">
        <f t="shared" si="8"/>
        <v>4.3000341568939998E-3</v>
      </c>
      <c r="J68" s="36">
        <f t="shared" si="9"/>
        <v>7.1763842952528398E-4</v>
      </c>
      <c r="K68" s="36">
        <f t="shared" si="10"/>
        <v>6.1500022293416114E-4</v>
      </c>
    </row>
    <row r="69" spans="1:11" x14ac:dyDescent="0.3">
      <c r="A69" s="262"/>
      <c r="B69" s="262"/>
      <c r="C69" s="29" t="s">
        <v>142</v>
      </c>
      <c r="D69" s="76">
        <v>754500</v>
      </c>
      <c r="E69" s="79">
        <v>674200</v>
      </c>
      <c r="F69" s="109">
        <f t="shared" si="11"/>
        <v>-0.10642809807819748</v>
      </c>
      <c r="G69" s="36">
        <f t="shared" si="6"/>
        <v>1.7234151329243354E-3</v>
      </c>
      <c r="H69" s="36">
        <f t="shared" si="7"/>
        <v>1.7234151329243354E-3</v>
      </c>
      <c r="I69" s="36">
        <f t="shared" si="8"/>
        <v>1.2281908231811453E-2</v>
      </c>
      <c r="J69" s="36">
        <f t="shared" si="9"/>
        <v>2.0497440284096102E-3</v>
      </c>
      <c r="K69" s="36">
        <f t="shared" si="10"/>
        <v>1.7565851863085913E-3</v>
      </c>
    </row>
    <row r="70" spans="1:11" x14ac:dyDescent="0.3">
      <c r="A70" s="262"/>
      <c r="B70" s="262"/>
      <c r="C70" s="29" t="s">
        <v>143</v>
      </c>
      <c r="D70" s="76">
        <v>503400</v>
      </c>
      <c r="E70" s="79">
        <v>449700</v>
      </c>
      <c r="F70" s="109">
        <f t="shared" si="11"/>
        <v>-0.1066746126340882</v>
      </c>
      <c r="G70" s="36">
        <f t="shared" si="6"/>
        <v>1.1495398773006134E-3</v>
      </c>
      <c r="H70" s="36">
        <f t="shared" si="7"/>
        <v>1.1495398773006134E-3</v>
      </c>
      <c r="I70" s="36">
        <f t="shared" si="8"/>
        <v>8.1921894569053858E-3</v>
      </c>
      <c r="J70" s="36">
        <f t="shared" si="9"/>
        <v>1.3672054131946036E-3</v>
      </c>
      <c r="K70" s="36">
        <f t="shared" si="10"/>
        <v>1.1716647260204295E-3</v>
      </c>
    </row>
    <row r="71" spans="1:11" x14ac:dyDescent="0.3">
      <c r="A71" s="262"/>
      <c r="B71" s="262"/>
      <c r="C71" s="29" t="s">
        <v>144</v>
      </c>
      <c r="D71" s="76">
        <v>182300</v>
      </c>
      <c r="E71" s="79">
        <v>166900</v>
      </c>
      <c r="F71" s="109">
        <f t="shared" si="11"/>
        <v>-8.4476138233680748E-2</v>
      </c>
      <c r="G71" s="36">
        <f t="shared" si="6"/>
        <v>4.2663599182004089E-4</v>
      </c>
      <c r="H71" s="36">
        <f t="shared" si="7"/>
        <v>4.2663599182004089E-4</v>
      </c>
      <c r="I71" s="36">
        <f t="shared" si="8"/>
        <v>3.040418991233064E-3</v>
      </c>
      <c r="J71" s="36">
        <f t="shared" si="9"/>
        <v>5.0741957630015425E-4</v>
      </c>
      <c r="K71" s="36">
        <f t="shared" si="10"/>
        <v>4.3484732660175604E-4</v>
      </c>
    </row>
    <row r="72" spans="1:11" x14ac:dyDescent="0.3">
      <c r="A72" s="262"/>
      <c r="B72" s="262"/>
      <c r="C72" s="29" t="s">
        <v>145</v>
      </c>
      <c r="D72" s="76">
        <v>2134200</v>
      </c>
      <c r="E72" s="79">
        <v>1917200</v>
      </c>
      <c r="F72" s="109">
        <f t="shared" si="11"/>
        <v>-0.10167744353856246</v>
      </c>
      <c r="G72" s="36">
        <f t="shared" si="6"/>
        <v>4.9008179959100203E-3</v>
      </c>
      <c r="H72" s="36">
        <f t="shared" si="7"/>
        <v>4.9008179959100203E-3</v>
      </c>
      <c r="I72" s="36">
        <f t="shared" si="8"/>
        <v>3.4925651827393829E-2</v>
      </c>
      <c r="J72" s="36">
        <f t="shared" si="9"/>
        <v>5.8287885661033887E-3</v>
      </c>
      <c r="K72" s="36">
        <f t="shared" si="10"/>
        <v>4.9951425677704411E-3</v>
      </c>
    </row>
    <row r="73" spans="1:11" x14ac:dyDescent="0.3">
      <c r="A73" s="262"/>
      <c r="B73" s="262"/>
      <c r="C73" s="29" t="s">
        <v>146</v>
      </c>
      <c r="D73" s="76">
        <v>2899800</v>
      </c>
      <c r="E73" s="79">
        <v>2707100</v>
      </c>
      <c r="F73" s="109">
        <f t="shared" si="11"/>
        <v>-6.64528588178495E-2</v>
      </c>
      <c r="G73" s="36">
        <f t="shared" si="6"/>
        <v>6.9199897750511245E-3</v>
      </c>
      <c r="H73" s="36">
        <f t="shared" si="7"/>
        <v>6.9199897750511245E-3</v>
      </c>
      <c r="I73" s="36">
        <f t="shared" si="8"/>
        <v>4.93152681316179E-2</v>
      </c>
      <c r="J73" s="36">
        <f t="shared" si="9"/>
        <v>8.23029080288884E-3</v>
      </c>
      <c r="K73" s="36">
        <f t="shared" si="10"/>
        <v>7.0531767396262053E-3</v>
      </c>
    </row>
    <row r="74" spans="1:11" x14ac:dyDescent="0.3">
      <c r="A74" s="262"/>
      <c r="B74" s="262"/>
      <c r="C74" s="43" t="s">
        <v>147</v>
      </c>
      <c r="D74" s="76">
        <v>1005600</v>
      </c>
      <c r="E74" s="79">
        <v>895100</v>
      </c>
      <c r="F74" s="109">
        <f t="shared" si="11"/>
        <v>-0.10988464598249802</v>
      </c>
      <c r="G74" s="36">
        <f t="shared" si="6"/>
        <v>2.2880879345603274E-3</v>
      </c>
      <c r="H74" s="36">
        <f t="shared" si="7"/>
        <v>2.2880879345603274E-3</v>
      </c>
      <c r="I74" s="36">
        <f t="shared" si="8"/>
        <v>1.6306045770237958E-2</v>
      </c>
      <c r="J74" s="36">
        <f t="shared" si="9"/>
        <v>2.7213377036924388E-3</v>
      </c>
      <c r="K74" s="36">
        <f t="shared" si="10"/>
        <v>2.3321260757413532E-3</v>
      </c>
    </row>
    <row r="75" spans="1:11" x14ac:dyDescent="0.3">
      <c r="A75" s="262"/>
      <c r="B75" s="262"/>
      <c r="C75" s="29" t="s">
        <v>192</v>
      </c>
      <c r="D75" s="76">
        <v>3000000</v>
      </c>
      <c r="E75" s="79">
        <v>3000000</v>
      </c>
      <c r="F75" s="109">
        <f t="shared" si="11"/>
        <v>0</v>
      </c>
      <c r="G75" s="36">
        <f t="shared" si="6"/>
        <v>7.6687116564417178E-3</v>
      </c>
      <c r="H75" s="36">
        <f t="shared" si="7"/>
        <v>7.6687116564417178E-3</v>
      </c>
      <c r="I75" s="36">
        <f t="shared" si="8"/>
        <v>5.4651030399635661E-2</v>
      </c>
      <c r="J75" s="36">
        <f t="shared" si="9"/>
        <v>9.1207832768152343E-3</v>
      </c>
      <c r="K75" s="36">
        <f t="shared" si="10"/>
        <v>7.8163090461669752E-3</v>
      </c>
    </row>
    <row r="76" spans="1:11" x14ac:dyDescent="0.3">
      <c r="A76" s="262"/>
      <c r="B76" s="256"/>
      <c r="C76" s="23" t="s">
        <v>335</v>
      </c>
      <c r="D76" s="74">
        <v>46893224</v>
      </c>
      <c r="E76" s="74">
        <f>SUM(E62:E75)</f>
        <v>38812609</v>
      </c>
      <c r="F76" s="110">
        <f t="shared" si="11"/>
        <v>-0.17231945920374339</v>
      </c>
      <c r="G76" s="37">
        <f t="shared" si="6"/>
        <v>9.9214235685071581E-2</v>
      </c>
      <c r="H76" s="37">
        <f t="shared" si="7"/>
        <v>9.9214235685071581E-2</v>
      </c>
      <c r="I76" s="37">
        <f t="shared" si="8"/>
        <v>0.70704969144939089</v>
      </c>
      <c r="J76" s="37">
        <f t="shared" si="9"/>
        <v>0.11800046503225615</v>
      </c>
      <c r="K76" s="37">
        <f t="shared" si="10"/>
        <v>0.10112378227734725</v>
      </c>
    </row>
    <row r="77" spans="1:11" x14ac:dyDescent="0.3">
      <c r="A77" s="262"/>
      <c r="B77" s="261" t="s">
        <v>336</v>
      </c>
      <c r="C77" s="29" t="s">
        <v>151</v>
      </c>
      <c r="D77" s="76">
        <v>16616562</v>
      </c>
      <c r="E77" s="79">
        <v>14510051</v>
      </c>
      <c r="F77" s="109">
        <f t="shared" si="11"/>
        <v>-0.12677177144104779</v>
      </c>
      <c r="G77" s="36">
        <f t="shared" si="6"/>
        <v>3.7091132413087938E-2</v>
      </c>
      <c r="H77" s="36">
        <f t="shared" si="7"/>
        <v>3.7091132413087938E-2</v>
      </c>
      <c r="I77" s="36">
        <f t="shared" si="8"/>
        <v>0.26432974610042126</v>
      </c>
      <c r="J77" s="36">
        <f t="shared" si="9"/>
        <v>4.4114343502178723E-2</v>
      </c>
      <c r="K77" s="36">
        <f t="shared" si="10"/>
        <v>3.7805014297214716E-2</v>
      </c>
    </row>
    <row r="78" spans="1:11" x14ac:dyDescent="0.3">
      <c r="A78" s="262"/>
      <c r="B78" s="262"/>
      <c r="C78" s="29" t="s">
        <v>153</v>
      </c>
      <c r="D78" s="76">
        <v>471221</v>
      </c>
      <c r="E78" s="79">
        <v>898404</v>
      </c>
      <c r="F78" s="109">
        <f t="shared" si="11"/>
        <v>0.90654491204763799</v>
      </c>
      <c r="G78" s="36">
        <f t="shared" si="6"/>
        <v>2.2965337423312884E-3</v>
      </c>
      <c r="H78" s="36">
        <f t="shared" si="7"/>
        <v>2.2965337423312884E-3</v>
      </c>
      <c r="I78" s="36">
        <f t="shared" si="8"/>
        <v>1.6366234771718093E-2</v>
      </c>
      <c r="J78" s="36">
        <f t="shared" si="9"/>
        <v>2.7313827263413045E-3</v>
      </c>
      <c r="K78" s="36">
        <f t="shared" si="10"/>
        <v>2.3407344374375316E-3</v>
      </c>
    </row>
    <row r="79" spans="1:11" x14ac:dyDescent="0.3">
      <c r="A79" s="262"/>
      <c r="B79" s="262"/>
      <c r="C79" s="29" t="s">
        <v>154</v>
      </c>
      <c r="D79" s="76">
        <v>767047</v>
      </c>
      <c r="E79" s="79">
        <v>770986</v>
      </c>
      <c r="F79" s="109">
        <f t="shared" si="11"/>
        <v>5.1352785422536041E-3</v>
      </c>
      <c r="G79" s="36">
        <f t="shared" si="6"/>
        <v>1.9708231083844581E-3</v>
      </c>
      <c r="H79" s="36">
        <f t="shared" si="7"/>
        <v>1.9708231083844581E-3</v>
      </c>
      <c r="I79" s="36">
        <f t="shared" si="8"/>
        <v>1.40450597745645E-2</v>
      </c>
      <c r="J79" s="36">
        <f t="shared" si="9"/>
        <v>2.3439987384862235E-3</v>
      </c>
      <c r="K79" s="36">
        <f t="shared" si="10"/>
        <v>2.0087549487560305E-3</v>
      </c>
    </row>
    <row r="80" spans="1:11" x14ac:dyDescent="0.3">
      <c r="A80" s="262"/>
      <c r="B80" s="262"/>
      <c r="C80" s="29" t="s">
        <v>155</v>
      </c>
      <c r="D80" s="76">
        <v>3435383</v>
      </c>
      <c r="E80" s="79">
        <v>3134509</v>
      </c>
      <c r="F80" s="109">
        <f t="shared" si="11"/>
        <v>-8.7580918925196982E-2</v>
      </c>
      <c r="G80" s="36">
        <f t="shared" si="6"/>
        <v>8.0125485685071576E-3</v>
      </c>
      <c r="H80" s="36">
        <f t="shared" si="7"/>
        <v>8.0125485685071576E-3</v>
      </c>
      <c r="I80" s="36">
        <f t="shared" si="8"/>
        <v>5.7101382215643856E-2</v>
      </c>
      <c r="J80" s="36">
        <f t="shared" si="9"/>
        <v>9.5297257560756146E-3</v>
      </c>
      <c r="K80" s="36">
        <f t="shared" si="10"/>
        <v>8.1667636839972656E-3</v>
      </c>
    </row>
    <row r="81" spans="1:11" x14ac:dyDescent="0.3">
      <c r="A81" s="262"/>
      <c r="B81" s="262"/>
      <c r="C81" s="29" t="s">
        <v>156</v>
      </c>
      <c r="D81" s="76">
        <v>2189014</v>
      </c>
      <c r="E81" s="79">
        <v>2356346</v>
      </c>
      <c r="F81" s="109">
        <f t="shared" si="11"/>
        <v>7.644172216349461E-2</v>
      </c>
      <c r="G81" s="36">
        <f t="shared" ref="G81:G112" si="12">+E81/$E$5</f>
        <v>6.0233793456032723E-3</v>
      </c>
      <c r="H81" s="36">
        <f t="shared" ref="H81:H112" si="13">+E81/$E$6</f>
        <v>6.0233793456032723E-3</v>
      </c>
      <c r="I81" s="36">
        <f t="shared" ref="I81:I112" si="14">+E81/$D$13</f>
        <v>4.2925578959353297E-2</v>
      </c>
      <c r="J81" s="36">
        <f t="shared" ref="J81:J112" si="15">+E81/$D$14</f>
        <v>7.1639070637301563E-3</v>
      </c>
      <c r="K81" s="36">
        <f t="shared" ref="K81:K112" si="16">+E81/$D$15</f>
        <v>6.1393095185664553E-3</v>
      </c>
    </row>
    <row r="82" spans="1:11" x14ac:dyDescent="0.3">
      <c r="A82" s="262"/>
      <c r="B82" s="262"/>
      <c r="C82" s="29" t="s">
        <v>157</v>
      </c>
      <c r="D82" s="76">
        <v>5305372</v>
      </c>
      <c r="E82" s="79">
        <v>4381866</v>
      </c>
      <c r="F82" s="109">
        <f t="shared" si="11"/>
        <v>-0.17406998038968804</v>
      </c>
      <c r="G82" s="36">
        <f t="shared" si="12"/>
        <v>1.1201088957055214E-2</v>
      </c>
      <c r="H82" s="36">
        <f t="shared" si="13"/>
        <v>1.1201088957055214E-2</v>
      </c>
      <c r="I82" s="36">
        <f t="shared" si="14"/>
        <v>7.9824497324376631E-2</v>
      </c>
      <c r="J82" s="36">
        <f t="shared" si="15"/>
        <v>1.3322016711348422E-2</v>
      </c>
      <c r="K82" s="36">
        <f t="shared" si="16"/>
        <v>1.1416672951630499E-2</v>
      </c>
    </row>
    <row r="83" spans="1:11" x14ac:dyDescent="0.3">
      <c r="A83" s="262"/>
      <c r="B83" s="262"/>
      <c r="C83" s="29" t="s">
        <v>158</v>
      </c>
      <c r="D83" s="76">
        <v>200000</v>
      </c>
      <c r="E83" s="79">
        <v>400000</v>
      </c>
      <c r="F83" s="109">
        <f t="shared" si="11"/>
        <v>1</v>
      </c>
      <c r="G83" s="36">
        <f t="shared" si="12"/>
        <v>1.0224948875255625E-3</v>
      </c>
      <c r="H83" s="36">
        <f t="shared" si="13"/>
        <v>1.0224948875255625E-3</v>
      </c>
      <c r="I83" s="36">
        <f t="shared" si="14"/>
        <v>7.2868040532847542E-3</v>
      </c>
      <c r="J83" s="36">
        <f t="shared" si="15"/>
        <v>1.216104436908698E-3</v>
      </c>
      <c r="K83" s="36">
        <f t="shared" si="16"/>
        <v>1.04217453948893E-3</v>
      </c>
    </row>
    <row r="84" spans="1:11" x14ac:dyDescent="0.3">
      <c r="A84" s="262"/>
      <c r="B84" s="262"/>
      <c r="C84" s="29" t="s">
        <v>159</v>
      </c>
      <c r="D84" s="76">
        <v>36072</v>
      </c>
      <c r="E84" s="79">
        <v>31580</v>
      </c>
      <c r="F84" s="109">
        <f t="shared" si="11"/>
        <v>-0.12452872033710358</v>
      </c>
      <c r="G84" s="36">
        <f t="shared" si="12"/>
        <v>8.0725971370143145E-5</v>
      </c>
      <c r="H84" s="36">
        <f t="shared" si="13"/>
        <v>8.0725971370143145E-5</v>
      </c>
      <c r="I84" s="36">
        <f t="shared" si="14"/>
        <v>5.7529318000683143E-4</v>
      </c>
      <c r="J84" s="36">
        <f t="shared" si="15"/>
        <v>9.6011445293941693E-5</v>
      </c>
      <c r="K84" s="36">
        <f t="shared" si="16"/>
        <v>8.2279679892651025E-5</v>
      </c>
    </row>
    <row r="85" spans="1:11" x14ac:dyDescent="0.3">
      <c r="A85" s="262"/>
      <c r="B85" s="262"/>
      <c r="C85" s="29" t="s">
        <v>161</v>
      </c>
      <c r="D85" s="76">
        <v>1926763</v>
      </c>
      <c r="E85" s="79">
        <v>341748</v>
      </c>
      <c r="F85" s="109">
        <f t="shared" si="11"/>
        <v>-0.82263101377803083</v>
      </c>
      <c r="G85" s="36">
        <f t="shared" si="12"/>
        <v>8.7358895705521471E-4</v>
      </c>
      <c r="H85" s="36">
        <f t="shared" si="13"/>
        <v>8.7358895705521471E-4</v>
      </c>
      <c r="I85" s="36">
        <f t="shared" si="14"/>
        <v>6.2256267790048959E-3</v>
      </c>
      <c r="J85" s="36">
        <f t="shared" si="15"/>
        <v>1.0390031477616843E-3</v>
      </c>
      <c r="K85" s="36">
        <f t="shared" si="16"/>
        <v>8.9040266130315708E-4</v>
      </c>
    </row>
    <row r="86" spans="1:11" x14ac:dyDescent="0.3">
      <c r="A86" s="262"/>
      <c r="B86" s="262"/>
      <c r="C86" s="29" t="s">
        <v>162</v>
      </c>
      <c r="D86" s="76">
        <v>15400</v>
      </c>
      <c r="E86" s="79">
        <v>292180</v>
      </c>
      <c r="F86" s="109">
        <f t="shared" si="11"/>
        <v>17.972727272727273</v>
      </c>
      <c r="G86" s="36">
        <f t="shared" si="12"/>
        <v>7.4688139059304708E-4</v>
      </c>
      <c r="H86" s="36">
        <f t="shared" si="13"/>
        <v>7.4688139059304708E-4</v>
      </c>
      <c r="I86" s="36">
        <f t="shared" si="14"/>
        <v>5.322646020721849E-3</v>
      </c>
      <c r="J86" s="36">
        <f t="shared" si="15"/>
        <v>8.8830348593995842E-4</v>
      </c>
      <c r="K86" s="36">
        <f t="shared" si="16"/>
        <v>7.6125639236968891E-4</v>
      </c>
    </row>
    <row r="87" spans="1:11" x14ac:dyDescent="0.3">
      <c r="A87" s="262"/>
      <c r="B87" s="262"/>
      <c r="C87" s="29" t="s">
        <v>163</v>
      </c>
      <c r="D87" s="76">
        <v>0</v>
      </c>
      <c r="E87" s="79">
        <v>600000</v>
      </c>
      <c r="F87" s="109" t="str">
        <f t="shared" si="11"/>
        <v>N/A</v>
      </c>
      <c r="G87" s="36">
        <f t="shared" si="12"/>
        <v>1.5337423312883436E-3</v>
      </c>
      <c r="H87" s="36">
        <f t="shared" si="13"/>
        <v>1.5337423312883436E-3</v>
      </c>
      <c r="I87" s="36">
        <f t="shared" si="14"/>
        <v>1.0930206079927132E-2</v>
      </c>
      <c r="J87" s="36">
        <f t="shared" si="15"/>
        <v>1.8241566553630468E-3</v>
      </c>
      <c r="K87" s="36">
        <f t="shared" si="16"/>
        <v>1.563261809233395E-3</v>
      </c>
    </row>
    <row r="88" spans="1:11" x14ac:dyDescent="0.3">
      <c r="A88" s="262"/>
      <c r="B88" s="262"/>
      <c r="C88" s="29" t="s">
        <v>164</v>
      </c>
      <c r="D88" s="76">
        <v>1323777</v>
      </c>
      <c r="E88" s="79">
        <v>256000</v>
      </c>
      <c r="F88" s="109">
        <f t="shared" si="11"/>
        <v>-0.80661395386080892</v>
      </c>
      <c r="G88" s="36">
        <f t="shared" si="12"/>
        <v>6.5439672801635988E-4</v>
      </c>
      <c r="H88" s="36">
        <f t="shared" si="13"/>
        <v>6.5439672801635988E-4</v>
      </c>
      <c r="I88" s="36">
        <f t="shared" si="14"/>
        <v>4.6635545941022425E-3</v>
      </c>
      <c r="J88" s="36">
        <f t="shared" si="15"/>
        <v>7.783068396215667E-4</v>
      </c>
      <c r="K88" s="36">
        <f t="shared" si="16"/>
        <v>6.6699170527291518E-4</v>
      </c>
    </row>
    <row r="89" spans="1:11" x14ac:dyDescent="0.3">
      <c r="A89" s="262"/>
      <c r="B89" s="262"/>
      <c r="C89" s="29" t="s">
        <v>165</v>
      </c>
      <c r="D89" s="76">
        <v>230000</v>
      </c>
      <c r="E89" s="79">
        <v>258276</v>
      </c>
      <c r="F89" s="109">
        <f t="shared" si="11"/>
        <v>0.12293913043478261</v>
      </c>
      <c r="G89" s="36">
        <f t="shared" si="12"/>
        <v>6.6021472392638033E-4</v>
      </c>
      <c r="H89" s="36">
        <f t="shared" si="13"/>
        <v>6.6021472392638033E-4</v>
      </c>
      <c r="I89" s="36">
        <f t="shared" si="14"/>
        <v>4.7050165091654331E-3</v>
      </c>
      <c r="J89" s="36">
        <f t="shared" si="15"/>
        <v>7.852264738675771E-4</v>
      </c>
      <c r="K89" s="36">
        <f t="shared" si="16"/>
        <v>6.7292167840260714E-4</v>
      </c>
    </row>
    <row r="90" spans="1:11" x14ac:dyDescent="0.3">
      <c r="A90" s="262"/>
      <c r="B90" s="262"/>
      <c r="C90" s="29" t="s">
        <v>167</v>
      </c>
      <c r="D90" s="76">
        <v>765974</v>
      </c>
      <c r="E90" s="79">
        <f>5255000-4760000</f>
        <v>495000</v>
      </c>
      <c r="F90" s="109">
        <f t="shared" si="11"/>
        <v>-0.35376396587873737</v>
      </c>
      <c r="G90" s="36">
        <f t="shared" si="12"/>
        <v>1.2653374233128835E-3</v>
      </c>
      <c r="H90" s="36">
        <f t="shared" si="13"/>
        <v>1.2653374233128835E-3</v>
      </c>
      <c r="I90" s="36">
        <f t="shared" si="14"/>
        <v>9.017420015939883E-3</v>
      </c>
      <c r="J90" s="36">
        <f t="shared" si="15"/>
        <v>1.5049292406745136E-3</v>
      </c>
      <c r="K90" s="36">
        <f t="shared" si="16"/>
        <v>1.2896909926175509E-3</v>
      </c>
    </row>
    <row r="91" spans="1:11" x14ac:dyDescent="0.3">
      <c r="A91" s="262"/>
      <c r="B91" s="262"/>
      <c r="C91" s="29" t="s">
        <v>168</v>
      </c>
      <c r="D91" s="76">
        <v>2705904</v>
      </c>
      <c r="E91" s="79">
        <v>1200000</v>
      </c>
      <c r="F91" s="109">
        <f t="shared" ref="F91:F122" si="17">IFERROR(+(E91-D91)/D91,"N/A")</f>
        <v>-0.55652528692813941</v>
      </c>
      <c r="G91" s="36">
        <f t="shared" si="12"/>
        <v>3.0674846625766872E-3</v>
      </c>
      <c r="H91" s="36">
        <f t="shared" si="13"/>
        <v>3.0674846625766872E-3</v>
      </c>
      <c r="I91" s="36">
        <f t="shared" si="14"/>
        <v>2.1860412159854264E-2</v>
      </c>
      <c r="J91" s="36">
        <f t="shared" si="15"/>
        <v>3.6483133107260935E-3</v>
      </c>
      <c r="K91" s="36">
        <f t="shared" si="16"/>
        <v>3.1265236184667899E-3</v>
      </c>
    </row>
    <row r="92" spans="1:11" x14ac:dyDescent="0.3">
      <c r="A92" s="262"/>
      <c r="B92" s="262"/>
      <c r="C92" s="29" t="s">
        <v>169</v>
      </c>
      <c r="D92" s="76">
        <v>1006000</v>
      </c>
      <c r="E92" s="79">
        <v>830100</v>
      </c>
      <c r="F92" s="109">
        <f t="shared" si="17"/>
        <v>-0.17485089463220677</v>
      </c>
      <c r="G92" s="36">
        <f t="shared" si="12"/>
        <v>2.1219325153374233E-3</v>
      </c>
      <c r="H92" s="36">
        <f t="shared" si="13"/>
        <v>2.1219325153374233E-3</v>
      </c>
      <c r="I92" s="36">
        <f t="shared" si="14"/>
        <v>1.5121940111579187E-2</v>
      </c>
      <c r="J92" s="36">
        <f t="shared" si="15"/>
        <v>2.5237207326947752E-3</v>
      </c>
      <c r="K92" s="36">
        <f t="shared" si="16"/>
        <v>2.1627727130744019E-3</v>
      </c>
    </row>
    <row r="93" spans="1:11" x14ac:dyDescent="0.3">
      <c r="A93" s="262"/>
      <c r="B93" s="262"/>
      <c r="C93" s="29" t="s">
        <v>170</v>
      </c>
      <c r="D93" s="76">
        <v>976290</v>
      </c>
      <c r="E93" s="79">
        <v>360290</v>
      </c>
      <c r="F93" s="109">
        <f t="shared" si="17"/>
        <v>-0.63096006309600627</v>
      </c>
      <c r="G93" s="36">
        <f t="shared" si="12"/>
        <v>9.2098670756646218E-4</v>
      </c>
      <c r="H93" s="36">
        <f t="shared" si="13"/>
        <v>9.2098670756646218E-4</v>
      </c>
      <c r="I93" s="36">
        <f t="shared" si="14"/>
        <v>6.5634065808949102E-3</v>
      </c>
      <c r="J93" s="36">
        <f t="shared" si="15"/>
        <v>1.095375668934587E-3</v>
      </c>
      <c r="K93" s="36">
        <f t="shared" si="16"/>
        <v>9.3871266208116644E-4</v>
      </c>
    </row>
    <row r="94" spans="1:11" x14ac:dyDescent="0.3">
      <c r="A94" s="262"/>
      <c r="B94" s="262"/>
      <c r="C94" s="29" t="s">
        <v>171</v>
      </c>
      <c r="D94" s="76">
        <v>0</v>
      </c>
      <c r="E94" s="79">
        <v>1754163</v>
      </c>
      <c r="F94" s="109" t="str">
        <f t="shared" si="17"/>
        <v>N/A</v>
      </c>
      <c r="G94" s="36">
        <f t="shared" si="12"/>
        <v>4.4840567484662579E-3</v>
      </c>
      <c r="H94" s="36">
        <f t="shared" si="13"/>
        <v>4.4840567484662579E-3</v>
      </c>
      <c r="I94" s="36">
        <f t="shared" si="14"/>
        <v>3.1955605146305362E-2</v>
      </c>
      <c r="J94" s="36">
        <f t="shared" si="15"/>
        <v>5.3331135184026806E-3</v>
      </c>
      <c r="K94" s="36">
        <f t="shared" si="16"/>
        <v>4.5703600417837994E-3</v>
      </c>
    </row>
    <row r="95" spans="1:11" x14ac:dyDescent="0.3">
      <c r="A95" s="262"/>
      <c r="B95" s="262"/>
      <c r="C95" s="29" t="s">
        <v>172</v>
      </c>
      <c r="D95" s="76">
        <v>2387672</v>
      </c>
      <c r="E95" s="79">
        <v>2567850</v>
      </c>
      <c r="F95" s="109">
        <f t="shared" si="17"/>
        <v>7.5461788721398915E-2</v>
      </c>
      <c r="G95" s="36">
        <f t="shared" si="12"/>
        <v>6.564033742331288E-3</v>
      </c>
      <c r="H95" s="36">
        <f t="shared" si="13"/>
        <v>6.564033742331288E-3</v>
      </c>
      <c r="I95" s="36">
        <f t="shared" si="14"/>
        <v>4.6778549470568143E-2</v>
      </c>
      <c r="J95" s="36">
        <f t="shared" si="15"/>
        <v>7.8069344457900001E-3</v>
      </c>
      <c r="K95" s="36">
        <f t="shared" si="16"/>
        <v>6.6903697280666216E-3</v>
      </c>
    </row>
    <row r="96" spans="1:11" x14ac:dyDescent="0.3">
      <c r="A96" s="262"/>
      <c r="B96" s="262"/>
      <c r="C96" s="29" t="s">
        <v>173</v>
      </c>
      <c r="D96" s="76">
        <v>2356400</v>
      </c>
      <c r="E96" s="79">
        <v>1614633</v>
      </c>
      <c r="F96" s="109">
        <f t="shared" si="17"/>
        <v>-0.31478823629264979</v>
      </c>
      <c r="G96" s="36">
        <f t="shared" si="12"/>
        <v>4.1273849693251536E-3</v>
      </c>
      <c r="H96" s="36">
        <f t="shared" si="13"/>
        <v>4.1273849693251536E-3</v>
      </c>
      <c r="I96" s="36">
        <f t="shared" si="14"/>
        <v>2.9413785722418307E-2</v>
      </c>
      <c r="J96" s="36">
        <f t="shared" si="15"/>
        <v>4.9089058881980037E-3</v>
      </c>
      <c r="K96" s="36">
        <f t="shared" si="16"/>
        <v>4.2068235080465737E-3</v>
      </c>
    </row>
    <row r="97" spans="1:11" x14ac:dyDescent="0.3">
      <c r="A97" s="262"/>
      <c r="B97" s="262"/>
      <c r="C97" s="29" t="s">
        <v>174</v>
      </c>
      <c r="D97" s="76">
        <v>835244</v>
      </c>
      <c r="E97" s="79">
        <v>1293177</v>
      </c>
      <c r="F97" s="109">
        <f t="shared" si="17"/>
        <v>0.54826254363994231</v>
      </c>
      <c r="G97" s="36">
        <f t="shared" si="12"/>
        <v>3.3056671779141105E-3</v>
      </c>
      <c r="H97" s="36">
        <f t="shared" si="13"/>
        <v>3.3056671779141105E-3</v>
      </c>
      <c r="I97" s="36">
        <f t="shared" si="14"/>
        <v>2.3557818513036548E-2</v>
      </c>
      <c r="J97" s="36">
        <f t="shared" si="15"/>
        <v>3.9315957185206982E-3</v>
      </c>
      <c r="K97" s="36">
        <f t="shared" si="16"/>
        <v>3.3692903611316901E-3</v>
      </c>
    </row>
    <row r="98" spans="1:11" x14ac:dyDescent="0.3">
      <c r="A98" s="262"/>
      <c r="B98" s="262"/>
      <c r="C98" s="29" t="s">
        <v>175</v>
      </c>
      <c r="D98" s="76">
        <v>0</v>
      </c>
      <c r="E98" s="79">
        <v>79000</v>
      </c>
      <c r="F98" s="109" t="str">
        <f t="shared" si="17"/>
        <v>N/A</v>
      </c>
      <c r="G98" s="36">
        <f t="shared" si="12"/>
        <v>2.0194274028629856E-4</v>
      </c>
      <c r="H98" s="36">
        <f t="shared" si="13"/>
        <v>2.0194274028629856E-4</v>
      </c>
      <c r="I98" s="36">
        <f t="shared" si="14"/>
        <v>1.439143800523739E-3</v>
      </c>
      <c r="J98" s="36">
        <f t="shared" si="15"/>
        <v>2.4018062628946784E-4</v>
      </c>
      <c r="K98" s="36">
        <f t="shared" si="16"/>
        <v>2.0582947154906367E-4</v>
      </c>
    </row>
    <row r="99" spans="1:11" x14ac:dyDescent="0.3">
      <c r="A99" s="262"/>
      <c r="B99" s="262"/>
      <c r="C99" s="29" t="s">
        <v>179</v>
      </c>
      <c r="D99" s="76">
        <v>0</v>
      </c>
      <c r="E99" s="79">
        <v>32574</v>
      </c>
      <c r="F99" s="109" t="str">
        <f t="shared" si="17"/>
        <v>N/A</v>
      </c>
      <c r="G99" s="36">
        <f t="shared" si="12"/>
        <v>8.3266871165644165E-5</v>
      </c>
      <c r="H99" s="36">
        <f t="shared" si="13"/>
        <v>8.3266871165644165E-5</v>
      </c>
      <c r="I99" s="36">
        <f t="shared" si="14"/>
        <v>5.9340088807924404E-4</v>
      </c>
      <c r="J99" s="36">
        <f t="shared" si="15"/>
        <v>9.9033464819659812E-5</v>
      </c>
      <c r="K99" s="36">
        <f t="shared" si="16"/>
        <v>8.4869483623281006E-5</v>
      </c>
    </row>
    <row r="100" spans="1:11" x14ac:dyDescent="0.3">
      <c r="A100" s="262"/>
      <c r="B100" s="262"/>
      <c r="C100" s="29" t="s">
        <v>180</v>
      </c>
      <c r="D100" s="76">
        <v>294872</v>
      </c>
      <c r="E100" s="79">
        <v>10422</v>
      </c>
      <c r="F100" s="109">
        <f t="shared" si="17"/>
        <v>-0.9646558506741908</v>
      </c>
      <c r="G100" s="36">
        <f t="shared" si="12"/>
        <v>2.6641104294478528E-5</v>
      </c>
      <c r="H100" s="36">
        <f t="shared" si="13"/>
        <v>2.6641104294478528E-5</v>
      </c>
      <c r="I100" s="36">
        <f t="shared" si="14"/>
        <v>1.8985767960833427E-4</v>
      </c>
      <c r="J100" s="36">
        <f t="shared" si="15"/>
        <v>3.1685601103656121E-5</v>
      </c>
      <c r="K100" s="36">
        <f t="shared" si="16"/>
        <v>2.715385762638407E-5</v>
      </c>
    </row>
    <row r="101" spans="1:11" x14ac:dyDescent="0.3">
      <c r="A101" s="262"/>
      <c r="B101" s="262"/>
      <c r="C101" s="29" t="s">
        <v>181</v>
      </c>
      <c r="D101" s="76">
        <v>5032103.6099999994</v>
      </c>
      <c r="E101" s="79">
        <v>4652190</v>
      </c>
      <c r="F101" s="109">
        <f t="shared" si="17"/>
        <v>-7.5497970519728522E-2</v>
      </c>
      <c r="G101" s="36">
        <f t="shared" si="12"/>
        <v>1.1892101226993865E-2</v>
      </c>
      <c r="H101" s="36">
        <f t="shared" si="13"/>
        <v>1.1892101226993865E-2</v>
      </c>
      <c r="I101" s="36">
        <f t="shared" si="14"/>
        <v>8.4748992371627002E-2</v>
      </c>
      <c r="J101" s="36">
        <f t="shared" si="15"/>
        <v>1.4143872250855689E-2</v>
      </c>
      <c r="K101" s="36">
        <f t="shared" si="16"/>
        <v>1.2120984927162513E-2</v>
      </c>
    </row>
    <row r="102" spans="1:11" x14ac:dyDescent="0.3">
      <c r="A102" s="262"/>
      <c r="B102" s="262"/>
      <c r="C102" s="29" t="s">
        <v>182</v>
      </c>
      <c r="D102" s="76">
        <v>35484.949999999997</v>
      </c>
      <c r="E102" s="79">
        <v>-17</v>
      </c>
      <c r="F102" s="109">
        <f t="shared" si="17"/>
        <v>-1.0004790763408149</v>
      </c>
      <c r="G102" s="36">
        <f t="shared" si="12"/>
        <v>-4.3456032719836398E-8</v>
      </c>
      <c r="H102" s="36">
        <f t="shared" si="13"/>
        <v>-4.3456032719836398E-8</v>
      </c>
      <c r="I102" s="36">
        <f t="shared" si="14"/>
        <v>-3.0968917226460206E-7</v>
      </c>
      <c r="J102" s="36">
        <f t="shared" si="15"/>
        <v>-5.1684438568619658E-8</v>
      </c>
      <c r="K102" s="36">
        <f t="shared" si="16"/>
        <v>-4.4292417928279521E-8</v>
      </c>
    </row>
    <row r="103" spans="1:11" x14ac:dyDescent="0.3">
      <c r="A103" s="262"/>
      <c r="B103" s="262"/>
      <c r="C103" s="29" t="s">
        <v>183</v>
      </c>
      <c r="D103" s="76">
        <v>1933349.23</v>
      </c>
      <c r="E103" s="79">
        <v>1918239</v>
      </c>
      <c r="F103" s="109">
        <f t="shared" si="17"/>
        <v>-7.8155719440299882E-3</v>
      </c>
      <c r="G103" s="36">
        <f t="shared" si="12"/>
        <v>4.9034739263803685E-3</v>
      </c>
      <c r="H103" s="36">
        <f t="shared" si="13"/>
        <v>4.9034739263803685E-3</v>
      </c>
      <c r="I103" s="36">
        <f t="shared" si="14"/>
        <v>3.4944579300922235E-2</v>
      </c>
      <c r="J103" s="36">
        <f t="shared" si="15"/>
        <v>5.8319473973782593E-3</v>
      </c>
      <c r="K103" s="36">
        <f t="shared" si="16"/>
        <v>4.9978496161367635E-3</v>
      </c>
    </row>
    <row r="104" spans="1:11" x14ac:dyDescent="0.3">
      <c r="A104" s="262"/>
      <c r="B104" s="262"/>
      <c r="C104" s="29" t="s">
        <v>184</v>
      </c>
      <c r="D104" s="76">
        <v>2783273</v>
      </c>
      <c r="E104" s="79">
        <v>3276576</v>
      </c>
      <c r="F104" s="109">
        <f t="shared" si="17"/>
        <v>0.1772384527137654</v>
      </c>
      <c r="G104" s="36">
        <f t="shared" si="12"/>
        <v>8.375705521472392E-3</v>
      </c>
      <c r="H104" s="36">
        <f t="shared" si="13"/>
        <v>8.375705521472392E-3</v>
      </c>
      <c r="I104" s="36">
        <f t="shared" si="14"/>
        <v>5.9689418194238869E-2</v>
      </c>
      <c r="J104" s="36">
        <f t="shared" si="15"/>
        <v>9.9616465286713838E-3</v>
      </c>
      <c r="K104" s="36">
        <f t="shared" si="16"/>
        <v>8.5369102097512008E-3</v>
      </c>
    </row>
    <row r="105" spans="1:11" x14ac:dyDescent="0.3">
      <c r="A105" s="262"/>
      <c r="B105" s="262"/>
      <c r="C105" s="29" t="s">
        <v>185</v>
      </c>
      <c r="D105" s="76">
        <v>0</v>
      </c>
      <c r="E105" s="79">
        <v>-45</v>
      </c>
      <c r="F105" s="109" t="str">
        <f t="shared" si="17"/>
        <v>N/A</v>
      </c>
      <c r="G105" s="36">
        <f t="shared" si="12"/>
        <v>-1.1503067484662576E-7</v>
      </c>
      <c r="H105" s="36">
        <f t="shared" si="13"/>
        <v>-1.1503067484662576E-7</v>
      </c>
      <c r="I105" s="36">
        <f t="shared" si="14"/>
        <v>-8.1976545599453486E-7</v>
      </c>
      <c r="J105" s="36">
        <f t="shared" si="15"/>
        <v>-1.3681174915222851E-7</v>
      </c>
      <c r="K105" s="36">
        <f t="shared" si="16"/>
        <v>-1.1724463569250463E-7</v>
      </c>
    </row>
    <row r="106" spans="1:11" x14ac:dyDescent="0.3">
      <c r="A106" s="262"/>
      <c r="B106" s="262"/>
      <c r="C106" s="29" t="s">
        <v>187</v>
      </c>
      <c r="D106" s="76">
        <v>55800</v>
      </c>
      <c r="E106" s="79">
        <v>63400</v>
      </c>
      <c r="F106" s="109">
        <f t="shared" si="17"/>
        <v>0.13620071684587814</v>
      </c>
      <c r="G106" s="36">
        <f t="shared" si="12"/>
        <v>1.6206543967280164E-4</v>
      </c>
      <c r="H106" s="36">
        <f t="shared" si="13"/>
        <v>1.6206543967280164E-4</v>
      </c>
      <c r="I106" s="36">
        <f t="shared" si="14"/>
        <v>1.1549584424456337E-3</v>
      </c>
      <c r="J106" s="36">
        <f t="shared" si="15"/>
        <v>1.9275255325002861E-4</v>
      </c>
      <c r="K106" s="36">
        <f t="shared" si="16"/>
        <v>1.6518466450899541E-4</v>
      </c>
    </row>
    <row r="107" spans="1:11" x14ac:dyDescent="0.3">
      <c r="A107" s="262"/>
      <c r="B107" s="262"/>
      <c r="C107" s="29" t="s">
        <v>188</v>
      </c>
      <c r="D107" s="76">
        <v>107815</v>
      </c>
      <c r="E107" s="79">
        <v>1412133</v>
      </c>
      <c r="F107" s="109">
        <f t="shared" si="17"/>
        <v>12.097741501646338</v>
      </c>
      <c r="G107" s="36">
        <f t="shared" si="12"/>
        <v>3.6097469325153376E-3</v>
      </c>
      <c r="H107" s="36">
        <f t="shared" si="13"/>
        <v>3.6097469325153376E-3</v>
      </c>
      <c r="I107" s="36">
        <f t="shared" si="14"/>
        <v>2.5724841170442901E-2</v>
      </c>
      <c r="J107" s="36">
        <f t="shared" si="15"/>
        <v>4.2932530170129756E-3</v>
      </c>
      <c r="K107" s="36">
        <f t="shared" si="16"/>
        <v>3.6792226474303027E-3</v>
      </c>
    </row>
    <row r="108" spans="1:11" x14ac:dyDescent="0.3">
      <c r="A108" s="262"/>
      <c r="B108" s="262"/>
      <c r="C108" s="29" t="s">
        <v>189</v>
      </c>
      <c r="D108" s="76">
        <v>2038288</v>
      </c>
      <c r="E108" s="79">
        <v>2686970</v>
      </c>
      <c r="F108" s="109">
        <f t="shared" si="17"/>
        <v>0.31824845164176996</v>
      </c>
      <c r="G108" s="36">
        <f t="shared" si="12"/>
        <v>6.8685327198364007E-3</v>
      </c>
      <c r="H108" s="36">
        <f t="shared" si="13"/>
        <v>6.8685327198364007E-3</v>
      </c>
      <c r="I108" s="36">
        <f t="shared" si="14"/>
        <v>4.8948559717636342E-2</v>
      </c>
      <c r="J108" s="36">
        <f t="shared" si="15"/>
        <v>8.1690903471014105E-3</v>
      </c>
      <c r="K108" s="36">
        <f t="shared" si="16"/>
        <v>7.0007293059264255E-3</v>
      </c>
    </row>
    <row r="109" spans="1:11" x14ac:dyDescent="0.3">
      <c r="A109" s="262"/>
      <c r="B109" s="262"/>
      <c r="C109" s="22" t="s">
        <v>192</v>
      </c>
      <c r="D109" s="76">
        <v>1811000</v>
      </c>
      <c r="E109" s="79">
        <v>0</v>
      </c>
      <c r="F109" s="109">
        <f t="shared" si="17"/>
        <v>-1</v>
      </c>
      <c r="G109" s="36">
        <f t="shared" si="12"/>
        <v>0</v>
      </c>
      <c r="H109" s="36">
        <f t="shared" si="13"/>
        <v>0</v>
      </c>
      <c r="I109" s="36">
        <f t="shared" si="14"/>
        <v>0</v>
      </c>
      <c r="J109" s="36">
        <f t="shared" si="15"/>
        <v>0</v>
      </c>
      <c r="K109" s="36">
        <f t="shared" si="16"/>
        <v>0</v>
      </c>
    </row>
    <row r="110" spans="1:11" x14ac:dyDescent="0.3">
      <c r="A110" s="262"/>
      <c r="B110" s="262"/>
      <c r="C110" s="29" t="s">
        <v>193</v>
      </c>
      <c r="D110" s="76">
        <v>9000</v>
      </c>
      <c r="E110" s="79">
        <v>26097</v>
      </c>
      <c r="F110" s="109">
        <f t="shared" si="17"/>
        <v>1.8996666666666666</v>
      </c>
      <c r="G110" s="36">
        <f t="shared" si="12"/>
        <v>6.6710122699386502E-5</v>
      </c>
      <c r="H110" s="36">
        <f t="shared" si="13"/>
        <v>6.6710122699386502E-5</v>
      </c>
      <c r="I110" s="36">
        <f t="shared" si="14"/>
        <v>4.7540931344643058E-4</v>
      </c>
      <c r="J110" s="36">
        <f t="shared" si="15"/>
        <v>7.9341693725015717E-5</v>
      </c>
      <c r="K110" s="36">
        <f t="shared" si="16"/>
        <v>6.7994072392606517E-5</v>
      </c>
    </row>
    <row r="111" spans="1:11" x14ac:dyDescent="0.3">
      <c r="A111" s="262"/>
      <c r="B111" s="262"/>
      <c r="C111" s="29" t="s">
        <v>194</v>
      </c>
      <c r="D111" s="76">
        <v>2189366</v>
      </c>
      <c r="E111" s="79">
        <v>444500</v>
      </c>
      <c r="F111" s="109">
        <f t="shared" si="17"/>
        <v>-0.79697318767168213</v>
      </c>
      <c r="G111" s="36">
        <f t="shared" si="12"/>
        <v>1.1362474437627812E-3</v>
      </c>
      <c r="H111" s="36">
        <f t="shared" si="13"/>
        <v>1.1362474437627812E-3</v>
      </c>
      <c r="I111" s="36">
        <f t="shared" si="14"/>
        <v>8.0974610042126843E-3</v>
      </c>
      <c r="J111" s="36">
        <f t="shared" si="15"/>
        <v>1.3513960555147906E-3</v>
      </c>
      <c r="K111" s="36">
        <f t="shared" si="16"/>
        <v>1.1581164570070735E-3</v>
      </c>
    </row>
    <row r="112" spans="1:11" x14ac:dyDescent="0.3">
      <c r="A112" s="262"/>
      <c r="B112" s="262"/>
      <c r="C112" s="22" t="s">
        <v>195</v>
      </c>
      <c r="D112" s="76">
        <v>167125</v>
      </c>
      <c r="E112" s="79">
        <v>0</v>
      </c>
      <c r="F112" s="109">
        <f t="shared" si="17"/>
        <v>-1</v>
      </c>
      <c r="G112" s="36">
        <f t="shared" si="12"/>
        <v>0</v>
      </c>
      <c r="H112" s="36">
        <f t="shared" si="13"/>
        <v>0</v>
      </c>
      <c r="I112" s="36">
        <f t="shared" si="14"/>
        <v>0</v>
      </c>
      <c r="J112" s="36">
        <f t="shared" si="15"/>
        <v>0</v>
      </c>
      <c r="K112" s="36">
        <f t="shared" si="16"/>
        <v>0</v>
      </c>
    </row>
    <row r="113" spans="1:11" x14ac:dyDescent="0.3">
      <c r="A113" s="262"/>
      <c r="B113" s="262"/>
      <c r="C113" s="29" t="s">
        <v>197</v>
      </c>
      <c r="D113" s="76">
        <v>110588</v>
      </c>
      <c r="E113" s="79">
        <v>87833</v>
      </c>
      <c r="F113" s="109">
        <f t="shared" si="17"/>
        <v>-0.20576373566752271</v>
      </c>
      <c r="G113" s="36">
        <f t="shared" ref="G113:G144" si="18">+E113/$E$5</f>
        <v>2.2452198364008181E-4</v>
      </c>
      <c r="H113" s="36">
        <f t="shared" ref="H113:H144" si="19">+E113/$E$6</f>
        <v>2.2452198364008181E-4</v>
      </c>
      <c r="I113" s="36">
        <f t="shared" ref="I113:I144" si="20">+E113/$D$13</f>
        <v>1.6000546510303996E-3</v>
      </c>
      <c r="J113" s="36">
        <f t="shared" ref="J113:J144" si="21">+E113/$D$14</f>
        <v>2.6703525251750413E-4</v>
      </c>
      <c r="K113" s="36">
        <f t="shared" ref="K113:K144" si="22">+E113/$D$15</f>
        <v>2.2884329081732796E-4</v>
      </c>
    </row>
    <row r="114" spans="1:11" x14ac:dyDescent="0.3">
      <c r="A114" s="262"/>
      <c r="B114" s="262"/>
      <c r="C114" s="29" t="s">
        <v>337</v>
      </c>
      <c r="D114" s="76">
        <v>0</v>
      </c>
      <c r="E114" s="79">
        <v>2499000</v>
      </c>
      <c r="F114" s="109" t="str">
        <f t="shared" si="17"/>
        <v>N/A</v>
      </c>
      <c r="G114" s="36">
        <f t="shared" si="18"/>
        <v>6.388036809815951E-3</v>
      </c>
      <c r="H114" s="36">
        <f t="shared" si="19"/>
        <v>6.388036809815951E-3</v>
      </c>
      <c r="I114" s="36">
        <f t="shared" si="20"/>
        <v>4.5524308322896508E-2</v>
      </c>
      <c r="J114" s="36">
        <f t="shared" si="21"/>
        <v>7.5976124695870898E-3</v>
      </c>
      <c r="K114" s="36">
        <f t="shared" si="22"/>
        <v>6.51098543545709E-3</v>
      </c>
    </row>
    <row r="115" spans="1:11" x14ac:dyDescent="0.3">
      <c r="A115" s="262"/>
      <c r="B115" s="262"/>
      <c r="C115" s="18" t="s">
        <v>198</v>
      </c>
      <c r="D115" s="76">
        <v>330929</v>
      </c>
      <c r="E115" s="79">
        <v>0</v>
      </c>
      <c r="F115" s="109">
        <f t="shared" si="17"/>
        <v>-1</v>
      </c>
      <c r="G115" s="36">
        <f t="shared" si="18"/>
        <v>0</v>
      </c>
      <c r="H115" s="36">
        <f t="shared" si="19"/>
        <v>0</v>
      </c>
      <c r="I115" s="36">
        <f t="shared" si="20"/>
        <v>0</v>
      </c>
      <c r="J115" s="36">
        <f t="shared" si="21"/>
        <v>0</v>
      </c>
      <c r="K115" s="36">
        <f t="shared" si="22"/>
        <v>0</v>
      </c>
    </row>
    <row r="116" spans="1:11" x14ac:dyDescent="0.3">
      <c r="A116" s="262"/>
      <c r="B116" s="262"/>
      <c r="C116" s="29" t="s">
        <v>199</v>
      </c>
      <c r="D116" s="76">
        <v>695576</v>
      </c>
      <c r="E116" s="79">
        <v>217257</v>
      </c>
      <c r="F116" s="109">
        <f t="shared" si="17"/>
        <v>-0.6876588611452954</v>
      </c>
      <c r="G116" s="36">
        <f t="shared" si="18"/>
        <v>5.5536042944785279E-4</v>
      </c>
      <c r="H116" s="36">
        <f t="shared" si="19"/>
        <v>5.5536042944785279E-4</v>
      </c>
      <c r="I116" s="36">
        <f t="shared" si="20"/>
        <v>3.9577729705112148E-3</v>
      </c>
      <c r="J116" s="36">
        <f t="shared" si="21"/>
        <v>6.6051800412368243E-4</v>
      </c>
      <c r="K116" s="36">
        <f t="shared" si="22"/>
        <v>5.660492848143661E-4</v>
      </c>
    </row>
    <row r="117" spans="1:11" x14ac:dyDescent="0.3">
      <c r="A117" s="262"/>
      <c r="B117" s="262"/>
      <c r="C117" s="29" t="s">
        <v>338</v>
      </c>
      <c r="D117" s="76">
        <v>0</v>
      </c>
      <c r="E117" s="79">
        <v>267227</v>
      </c>
      <c r="F117" s="109" t="str">
        <f t="shared" si="17"/>
        <v>N/A</v>
      </c>
      <c r="G117" s="36">
        <f t="shared" si="18"/>
        <v>6.8309560327198368E-4</v>
      </c>
      <c r="H117" s="36">
        <f t="shared" si="19"/>
        <v>6.8309560327198368E-4</v>
      </c>
      <c r="I117" s="36">
        <f t="shared" si="20"/>
        <v>4.8680769668678131E-3</v>
      </c>
      <c r="J117" s="36">
        <f t="shared" si="21"/>
        <v>8.1243985090450157E-4</v>
      </c>
      <c r="K117" s="36">
        <f t="shared" si="22"/>
        <v>6.9624293916002071E-4</v>
      </c>
    </row>
    <row r="118" spans="1:11" x14ac:dyDescent="0.3">
      <c r="A118" s="262"/>
      <c r="B118" s="256"/>
      <c r="C118" s="23" t="s">
        <v>339</v>
      </c>
      <c r="D118" s="74">
        <v>61144664.789999999</v>
      </c>
      <c r="E118" s="74">
        <f>SUM(E77:E117)</f>
        <v>56020515</v>
      </c>
      <c r="F118" s="110">
        <f t="shared" si="17"/>
        <v>-8.380371055428594E-2</v>
      </c>
      <c r="G118" s="37">
        <f t="shared" si="18"/>
        <v>0.14320172546012269</v>
      </c>
      <c r="H118" s="37">
        <f t="shared" si="19"/>
        <v>0.14320172546012269</v>
      </c>
      <c r="I118" s="37">
        <f t="shared" si="20"/>
        <v>1.0205262894227485</v>
      </c>
      <c r="J118" s="37">
        <f t="shared" si="21"/>
        <v>0.17031699212352566</v>
      </c>
      <c r="K118" s="37">
        <f t="shared" si="22"/>
        <v>0.14595788605514423</v>
      </c>
    </row>
    <row r="119" spans="1:11" ht="18" customHeight="1" x14ac:dyDescent="0.35">
      <c r="A119" s="256"/>
      <c r="B119" s="266" t="s">
        <v>340</v>
      </c>
      <c r="C119" s="267"/>
      <c r="D119" s="77">
        <v>108037888.79000001</v>
      </c>
      <c r="E119" s="77">
        <f>+E118+E76</f>
        <v>94833124</v>
      </c>
      <c r="F119" s="111">
        <f t="shared" si="17"/>
        <v>-0.12222346195293517</v>
      </c>
      <c r="G119" s="38">
        <f t="shared" si="18"/>
        <v>0.24241596114519429</v>
      </c>
      <c r="H119" s="38">
        <f t="shared" si="19"/>
        <v>0.24241596114519429</v>
      </c>
      <c r="I119" s="38">
        <f t="shared" si="20"/>
        <v>1.7275759808721394</v>
      </c>
      <c r="J119" s="38">
        <f t="shared" si="21"/>
        <v>0.28831745715578183</v>
      </c>
      <c r="K119" s="38">
        <f t="shared" si="22"/>
        <v>0.24708166833249148</v>
      </c>
    </row>
    <row r="120" spans="1:11" ht="14.4" customHeight="1" x14ac:dyDescent="0.3">
      <c r="A120" s="264" t="s">
        <v>27</v>
      </c>
      <c r="B120" s="261" t="s">
        <v>341</v>
      </c>
      <c r="C120" s="24" t="s">
        <v>342</v>
      </c>
      <c r="D120" s="54">
        <v>0</v>
      </c>
      <c r="E120" s="79">
        <v>4994816</v>
      </c>
      <c r="F120" s="109" t="str">
        <f t="shared" si="17"/>
        <v>N/A</v>
      </c>
      <c r="G120" s="36">
        <f t="shared" si="18"/>
        <v>1.2767934560327198E-2</v>
      </c>
      <c r="H120" s="36">
        <f t="shared" si="19"/>
        <v>1.2767934560327198E-2</v>
      </c>
      <c r="I120" s="36">
        <f t="shared" si="20"/>
        <v>9.0990613685528868E-2</v>
      </c>
      <c r="J120" s="36">
        <f t="shared" si="21"/>
        <v>1.5185544747856387E-2</v>
      </c>
      <c r="K120" s="36">
        <f t="shared" si="22"/>
        <v>1.3013675161579847E-2</v>
      </c>
    </row>
    <row r="121" spans="1:11" x14ac:dyDescent="0.3">
      <c r="A121" s="262"/>
      <c r="B121" s="262"/>
      <c r="C121" s="24" t="s">
        <v>343</v>
      </c>
      <c r="D121" s="54">
        <v>0</v>
      </c>
      <c r="E121" s="79">
        <v>396954</v>
      </c>
      <c r="F121" s="109" t="str">
        <f t="shared" si="17"/>
        <v>N/A</v>
      </c>
      <c r="G121" s="36">
        <f t="shared" si="18"/>
        <v>1.0147085889570552E-3</v>
      </c>
      <c r="H121" s="36">
        <f t="shared" si="19"/>
        <v>1.0147085889570552E-3</v>
      </c>
      <c r="I121" s="36">
        <f t="shared" si="20"/>
        <v>7.2313150404189914E-3</v>
      </c>
      <c r="J121" s="36">
        <f t="shared" si="21"/>
        <v>1.2068438016216382E-3</v>
      </c>
      <c r="K121" s="36">
        <f t="shared" si="22"/>
        <v>1.0342383803707217E-3</v>
      </c>
    </row>
    <row r="122" spans="1:11" x14ac:dyDescent="0.3">
      <c r="A122" s="262"/>
      <c r="B122" s="262"/>
      <c r="C122" s="24" t="s">
        <v>344</v>
      </c>
      <c r="D122" s="54">
        <v>0</v>
      </c>
      <c r="E122" s="79">
        <v>922231</v>
      </c>
      <c r="F122" s="109" t="str">
        <f t="shared" si="17"/>
        <v>N/A</v>
      </c>
      <c r="G122" s="36">
        <f t="shared" si="18"/>
        <v>2.3574412065439673E-3</v>
      </c>
      <c r="H122" s="36">
        <f t="shared" si="19"/>
        <v>2.3574412065439673E-3</v>
      </c>
      <c r="I122" s="36">
        <f t="shared" si="20"/>
        <v>1.6800291472162131E-2</v>
      </c>
      <c r="J122" s="36">
        <f t="shared" si="21"/>
        <v>2.8038230273868636E-3</v>
      </c>
      <c r="K122" s="36">
        <f t="shared" si="22"/>
        <v>2.4028141693185384E-3</v>
      </c>
    </row>
    <row r="123" spans="1:11" x14ac:dyDescent="0.3">
      <c r="A123" s="262"/>
      <c r="B123" s="262"/>
      <c r="C123" s="24" t="s">
        <v>345</v>
      </c>
      <c r="D123" s="54">
        <v>0</v>
      </c>
      <c r="E123" s="79">
        <v>523300</v>
      </c>
      <c r="F123" s="109" t="str">
        <f t="shared" ref="F123:F154" si="23">IFERROR(+(E123-D123)/D123,"N/A")</f>
        <v>N/A</v>
      </c>
      <c r="G123" s="36">
        <f t="shared" si="18"/>
        <v>1.3376789366053169E-3</v>
      </c>
      <c r="H123" s="36">
        <f t="shared" si="19"/>
        <v>1.3376789366053169E-3</v>
      </c>
      <c r="I123" s="36">
        <f t="shared" si="20"/>
        <v>9.53296140270978E-3</v>
      </c>
      <c r="J123" s="36">
        <f t="shared" si="21"/>
        <v>1.590968629585804E-3</v>
      </c>
      <c r="K123" s="36">
        <f t="shared" si="22"/>
        <v>1.3634248412863926E-3</v>
      </c>
    </row>
    <row r="124" spans="1:11" x14ac:dyDescent="0.3">
      <c r="A124" s="262"/>
      <c r="B124" s="262"/>
      <c r="C124" s="24" t="s">
        <v>346</v>
      </c>
      <c r="D124" s="54">
        <v>0</v>
      </c>
      <c r="E124" s="79">
        <v>523300</v>
      </c>
      <c r="F124" s="109" t="str">
        <f t="shared" si="23"/>
        <v>N/A</v>
      </c>
      <c r="G124" s="36">
        <f t="shared" si="18"/>
        <v>1.3376789366053169E-3</v>
      </c>
      <c r="H124" s="36">
        <f t="shared" si="19"/>
        <v>1.3376789366053169E-3</v>
      </c>
      <c r="I124" s="36">
        <f t="shared" si="20"/>
        <v>9.53296140270978E-3</v>
      </c>
      <c r="J124" s="36">
        <f t="shared" si="21"/>
        <v>1.590968629585804E-3</v>
      </c>
      <c r="K124" s="36">
        <f t="shared" si="22"/>
        <v>1.3634248412863926E-3</v>
      </c>
    </row>
    <row r="125" spans="1:11" x14ac:dyDescent="0.3">
      <c r="A125" s="262"/>
      <c r="B125" s="262"/>
      <c r="C125" s="24" t="s">
        <v>347</v>
      </c>
      <c r="D125" s="54">
        <v>0</v>
      </c>
      <c r="E125" s="79">
        <v>45579</v>
      </c>
      <c r="F125" s="109" t="str">
        <f t="shared" si="23"/>
        <v>N/A</v>
      </c>
      <c r="G125" s="36">
        <f t="shared" si="18"/>
        <v>1.1651073619631902E-4</v>
      </c>
      <c r="H125" s="36">
        <f t="shared" si="19"/>
        <v>1.1651073619631902E-4</v>
      </c>
      <c r="I125" s="36">
        <f t="shared" si="20"/>
        <v>8.3031310486166455E-4</v>
      </c>
      <c r="J125" s="36">
        <f t="shared" si="21"/>
        <v>1.3857206032465386E-4</v>
      </c>
      <c r="K125" s="36">
        <f t="shared" si="22"/>
        <v>1.1875318333841485E-4</v>
      </c>
    </row>
    <row r="126" spans="1:11" x14ac:dyDescent="0.3">
      <c r="A126" s="262"/>
      <c r="B126" s="262"/>
      <c r="C126" s="24" t="s">
        <v>348</v>
      </c>
      <c r="D126" s="54">
        <v>0</v>
      </c>
      <c r="E126" s="79">
        <v>176600</v>
      </c>
      <c r="F126" s="109" t="str">
        <f t="shared" si="23"/>
        <v>N/A</v>
      </c>
      <c r="G126" s="36">
        <f t="shared" si="18"/>
        <v>4.5143149284253579E-4</v>
      </c>
      <c r="H126" s="36">
        <f t="shared" si="19"/>
        <v>4.5143149284253579E-4</v>
      </c>
      <c r="I126" s="36">
        <f t="shared" si="20"/>
        <v>3.2171239895252193E-3</v>
      </c>
      <c r="J126" s="36">
        <f t="shared" si="21"/>
        <v>5.369101088951901E-4</v>
      </c>
      <c r="K126" s="36">
        <f t="shared" si="22"/>
        <v>4.6012005918436255E-4</v>
      </c>
    </row>
    <row r="127" spans="1:11" x14ac:dyDescent="0.3">
      <c r="A127" s="262"/>
      <c r="B127" s="262"/>
      <c r="C127" s="24" t="s">
        <v>349</v>
      </c>
      <c r="D127" s="54">
        <v>0</v>
      </c>
      <c r="E127" s="79">
        <v>117900</v>
      </c>
      <c r="F127" s="109" t="str">
        <f t="shared" si="23"/>
        <v>N/A</v>
      </c>
      <c r="G127" s="36">
        <f t="shared" si="18"/>
        <v>3.013803680981595E-4</v>
      </c>
      <c r="H127" s="36">
        <f t="shared" si="19"/>
        <v>3.013803680981595E-4</v>
      </c>
      <c r="I127" s="36">
        <f t="shared" si="20"/>
        <v>2.1477854947056815E-3</v>
      </c>
      <c r="J127" s="36">
        <f t="shared" si="21"/>
        <v>3.5844678277883871E-4</v>
      </c>
      <c r="K127" s="36">
        <f t="shared" si="22"/>
        <v>3.0718094551436211E-4</v>
      </c>
    </row>
    <row r="128" spans="1:11" x14ac:dyDescent="0.3">
      <c r="A128" s="262"/>
      <c r="B128" s="262"/>
      <c r="C128" s="24" t="s">
        <v>350</v>
      </c>
      <c r="D128" s="54">
        <v>0</v>
      </c>
      <c r="E128" s="79">
        <v>31000</v>
      </c>
      <c r="F128" s="109" t="str">
        <f t="shared" si="23"/>
        <v>N/A</v>
      </c>
      <c r="G128" s="36">
        <f t="shared" si="18"/>
        <v>7.9243353783231077E-5</v>
      </c>
      <c r="H128" s="36">
        <f t="shared" si="19"/>
        <v>7.9243353783231077E-5</v>
      </c>
      <c r="I128" s="36">
        <f t="shared" si="20"/>
        <v>5.647273141295685E-4</v>
      </c>
      <c r="J128" s="36">
        <f t="shared" si="21"/>
        <v>9.4248093860424081E-5</v>
      </c>
      <c r="K128" s="36">
        <f t="shared" si="22"/>
        <v>8.0768526810392073E-5</v>
      </c>
    </row>
    <row r="129" spans="1:11" x14ac:dyDescent="0.3">
      <c r="A129" s="262"/>
      <c r="B129" s="262"/>
      <c r="C129" s="24" t="s">
        <v>351</v>
      </c>
      <c r="D129" s="54">
        <v>0</v>
      </c>
      <c r="E129" s="79">
        <v>499800</v>
      </c>
      <c r="F129" s="109" t="str">
        <f t="shared" si="23"/>
        <v>N/A</v>
      </c>
      <c r="G129" s="36">
        <f t="shared" si="18"/>
        <v>1.2776073619631902E-3</v>
      </c>
      <c r="H129" s="36">
        <f t="shared" si="19"/>
        <v>1.2776073619631902E-3</v>
      </c>
      <c r="I129" s="36">
        <f t="shared" si="20"/>
        <v>9.1048616645793001E-3</v>
      </c>
      <c r="J129" s="36">
        <f t="shared" si="21"/>
        <v>1.519522493917418E-3</v>
      </c>
      <c r="K129" s="36">
        <f t="shared" si="22"/>
        <v>1.302197087091418E-3</v>
      </c>
    </row>
    <row r="130" spans="1:11" x14ac:dyDescent="0.3">
      <c r="A130" s="262"/>
      <c r="B130" s="262"/>
      <c r="C130" s="24" t="s">
        <v>352</v>
      </c>
      <c r="D130" s="54">
        <v>0</v>
      </c>
      <c r="E130" s="79">
        <v>592100</v>
      </c>
      <c r="F130" s="109" t="str">
        <f t="shared" si="23"/>
        <v>N/A</v>
      </c>
      <c r="G130" s="36">
        <f t="shared" si="18"/>
        <v>1.5135480572597137E-3</v>
      </c>
      <c r="H130" s="36">
        <f t="shared" si="19"/>
        <v>1.5135480572597137E-3</v>
      </c>
      <c r="I130" s="36">
        <f t="shared" si="20"/>
        <v>1.0786291699874759E-2</v>
      </c>
      <c r="J130" s="36">
        <f t="shared" si="21"/>
        <v>1.8001385927341E-3</v>
      </c>
      <c r="K130" s="36">
        <f t="shared" si="22"/>
        <v>1.5426788620784885E-3</v>
      </c>
    </row>
    <row r="131" spans="1:11" x14ac:dyDescent="0.3">
      <c r="A131" s="262"/>
      <c r="B131" s="262"/>
      <c r="C131" s="44" t="s">
        <v>353</v>
      </c>
      <c r="D131" s="54">
        <v>0</v>
      </c>
      <c r="E131" s="79">
        <v>235500</v>
      </c>
      <c r="F131" s="109" t="str">
        <f t="shared" si="23"/>
        <v>N/A</v>
      </c>
      <c r="G131" s="36">
        <f t="shared" si="18"/>
        <v>6.019938650306748E-4</v>
      </c>
      <c r="H131" s="36">
        <f t="shared" si="19"/>
        <v>6.019938650306748E-4</v>
      </c>
      <c r="I131" s="36">
        <f t="shared" si="20"/>
        <v>4.2901058863713997E-3</v>
      </c>
      <c r="J131" s="36">
        <f t="shared" si="21"/>
        <v>7.1598148722999591E-4</v>
      </c>
      <c r="K131" s="36">
        <f t="shared" si="22"/>
        <v>6.1358026012410755E-4</v>
      </c>
    </row>
    <row r="132" spans="1:11" x14ac:dyDescent="0.3">
      <c r="A132" s="262"/>
      <c r="B132" s="262"/>
      <c r="C132" s="24" t="s">
        <v>212</v>
      </c>
      <c r="D132" s="54">
        <v>0</v>
      </c>
      <c r="E132" s="79">
        <v>150000</v>
      </c>
      <c r="F132" s="109" t="str">
        <f t="shared" si="23"/>
        <v>N/A</v>
      </c>
      <c r="G132" s="36">
        <f t="shared" si="18"/>
        <v>3.834355828220859E-4</v>
      </c>
      <c r="H132" s="36">
        <f t="shared" si="19"/>
        <v>3.834355828220859E-4</v>
      </c>
      <c r="I132" s="36">
        <f t="shared" si="20"/>
        <v>2.7325515199817831E-3</v>
      </c>
      <c r="J132" s="36">
        <f t="shared" si="21"/>
        <v>4.5603916384076169E-4</v>
      </c>
      <c r="K132" s="36">
        <f t="shared" si="22"/>
        <v>3.9081545230834874E-4</v>
      </c>
    </row>
    <row r="133" spans="1:11" x14ac:dyDescent="0.3">
      <c r="A133" s="262"/>
      <c r="B133" s="256"/>
      <c r="C133" s="26" t="s">
        <v>354</v>
      </c>
      <c r="D133" s="74">
        <v>0</v>
      </c>
      <c r="E133" s="74">
        <f>SUM(E120:E132)</f>
        <v>9209080</v>
      </c>
      <c r="F133" s="110" t="str">
        <f t="shared" si="23"/>
        <v>N/A</v>
      </c>
      <c r="G133" s="37">
        <f t="shared" si="18"/>
        <v>2.3540593047034764E-2</v>
      </c>
      <c r="H133" s="37">
        <f t="shared" si="19"/>
        <v>2.3540593047034764E-2</v>
      </c>
      <c r="I133" s="37">
        <f t="shared" si="20"/>
        <v>0.16776190367755892</v>
      </c>
      <c r="J133" s="37">
        <f t="shared" si="21"/>
        <v>2.799800761961788E-2</v>
      </c>
      <c r="K133" s="37">
        <f t="shared" si="22"/>
        <v>2.3993671770291786E-2</v>
      </c>
    </row>
    <row r="134" spans="1:11" ht="15" customHeight="1" x14ac:dyDescent="0.3">
      <c r="A134" s="262"/>
      <c r="B134" s="265" t="s">
        <v>355</v>
      </c>
      <c r="C134" s="24" t="s">
        <v>356</v>
      </c>
      <c r="D134" s="54">
        <v>0</v>
      </c>
      <c r="E134" s="79">
        <v>2062966</v>
      </c>
      <c r="F134" s="109" t="str">
        <f t="shared" si="23"/>
        <v>N/A</v>
      </c>
      <c r="G134" s="36">
        <f t="shared" si="18"/>
        <v>5.2734304703476479E-3</v>
      </c>
      <c r="H134" s="36">
        <f t="shared" si="19"/>
        <v>5.2734304703476479E-3</v>
      </c>
      <c r="I134" s="36">
        <f t="shared" si="20"/>
        <v>3.7581072526471596E-2</v>
      </c>
      <c r="J134" s="36">
        <f t="shared" si="21"/>
        <v>6.2719552644794722E-3</v>
      </c>
      <c r="K134" s="36">
        <f t="shared" si="22"/>
        <v>5.3749266025783001E-3</v>
      </c>
    </row>
    <row r="135" spans="1:11" ht="15" customHeight="1" x14ac:dyDescent="0.3">
      <c r="A135" s="262"/>
      <c r="B135" s="262"/>
      <c r="C135" s="24" t="s">
        <v>357</v>
      </c>
      <c r="D135" s="54">
        <v>0</v>
      </c>
      <c r="E135" s="79">
        <v>1080515</v>
      </c>
      <c r="F135" s="109" t="str">
        <f t="shared" si="23"/>
        <v>N/A</v>
      </c>
      <c r="G135" s="36">
        <f t="shared" si="18"/>
        <v>2.7620526584867075E-3</v>
      </c>
      <c r="H135" s="36">
        <f t="shared" si="19"/>
        <v>2.7620526584867075E-3</v>
      </c>
      <c r="I135" s="36">
        <f t="shared" si="20"/>
        <v>1.968375270408744E-2</v>
      </c>
      <c r="J135" s="36">
        <f t="shared" si="21"/>
        <v>3.2850477141160043E-3</v>
      </c>
      <c r="K135" s="36">
        <f t="shared" si="22"/>
        <v>2.8152130563397029E-3</v>
      </c>
    </row>
    <row r="136" spans="1:11" x14ac:dyDescent="0.3">
      <c r="A136" s="262"/>
      <c r="B136" s="256"/>
      <c r="C136" s="26" t="s">
        <v>358</v>
      </c>
      <c r="D136" s="74">
        <v>0</v>
      </c>
      <c r="E136" s="78">
        <f>SUM(E134:E135)</f>
        <v>3143481</v>
      </c>
      <c r="F136" s="110" t="str">
        <f t="shared" si="23"/>
        <v>N/A</v>
      </c>
      <c r="G136" s="37">
        <f t="shared" si="18"/>
        <v>8.0354831288343559E-3</v>
      </c>
      <c r="H136" s="37">
        <f t="shared" si="19"/>
        <v>8.0354831288343559E-3</v>
      </c>
      <c r="I136" s="37">
        <f t="shared" si="20"/>
        <v>5.7264825230559036E-2</v>
      </c>
      <c r="J136" s="37">
        <f t="shared" si="21"/>
        <v>9.5570029785954757E-3</v>
      </c>
      <c r="K136" s="37">
        <f t="shared" si="22"/>
        <v>8.1901396589180026E-3</v>
      </c>
    </row>
    <row r="137" spans="1:11" ht="18" customHeight="1" x14ac:dyDescent="0.35">
      <c r="A137" s="256"/>
      <c r="B137" s="266" t="s">
        <v>359</v>
      </c>
      <c r="C137" s="267"/>
      <c r="D137" s="77">
        <v>0</v>
      </c>
      <c r="E137" s="77">
        <f>+E136+E133</f>
        <v>12352561</v>
      </c>
      <c r="F137" s="111" t="str">
        <f t="shared" si="23"/>
        <v>N/A</v>
      </c>
      <c r="G137" s="38">
        <f t="shared" si="18"/>
        <v>3.1576076175869119E-2</v>
      </c>
      <c r="H137" s="38">
        <f t="shared" si="19"/>
        <v>3.1576076175869119E-2</v>
      </c>
      <c r="I137" s="38">
        <f t="shared" si="20"/>
        <v>0.22502672890811795</v>
      </c>
      <c r="J137" s="38">
        <f t="shared" si="21"/>
        <v>3.7555010598213354E-2</v>
      </c>
      <c r="K137" s="38">
        <f t="shared" si="22"/>
        <v>3.2183811429209792E-2</v>
      </c>
    </row>
    <row r="138" spans="1:11" x14ac:dyDescent="0.3">
      <c r="A138" s="264" t="s">
        <v>67</v>
      </c>
      <c r="B138" s="261" t="s">
        <v>360</v>
      </c>
      <c r="C138" s="29" t="s">
        <v>265</v>
      </c>
      <c r="D138" s="76">
        <v>10133592</v>
      </c>
      <c r="E138" s="79">
        <v>9346392</v>
      </c>
      <c r="F138" s="109">
        <f t="shared" si="23"/>
        <v>-7.7682227585243221E-2</v>
      </c>
      <c r="G138" s="36">
        <f t="shared" si="18"/>
        <v>2.3891595092024539E-2</v>
      </c>
      <c r="H138" s="36">
        <f t="shared" si="19"/>
        <v>2.3891595092024539E-2</v>
      </c>
      <c r="I138" s="36">
        <f t="shared" si="20"/>
        <v>0.17026331777297052</v>
      </c>
      <c r="J138" s="36">
        <f t="shared" si="21"/>
        <v>2.8415471950719896E-2</v>
      </c>
      <c r="K138" s="36">
        <f t="shared" si="22"/>
        <v>2.4351429446207547E-2</v>
      </c>
    </row>
    <row r="139" spans="1:11" x14ac:dyDescent="0.3">
      <c r="A139" s="262"/>
      <c r="B139" s="262"/>
      <c r="C139" s="29" t="s">
        <v>267</v>
      </c>
      <c r="D139" s="76">
        <v>137158</v>
      </c>
      <c r="E139" s="79">
        <v>1038799</v>
      </c>
      <c r="F139" s="109">
        <f t="shared" si="23"/>
        <v>6.5737397745665582</v>
      </c>
      <c r="G139" s="36">
        <f t="shared" si="18"/>
        <v>2.6554166666666666E-3</v>
      </c>
      <c r="H139" s="36">
        <f t="shared" si="19"/>
        <v>2.6554166666666666E-3</v>
      </c>
      <c r="I139" s="36">
        <f t="shared" si="20"/>
        <v>1.8923811909370373E-2</v>
      </c>
      <c r="J139" s="36">
        <f t="shared" si="21"/>
        <v>3.1582201823907963E-3</v>
      </c>
      <c r="K139" s="36">
        <f t="shared" si="22"/>
        <v>2.7065246736164023E-3</v>
      </c>
    </row>
    <row r="140" spans="1:11" x14ac:dyDescent="0.3">
      <c r="A140" s="262"/>
      <c r="B140" s="262"/>
      <c r="C140" s="29" t="s">
        <v>270</v>
      </c>
      <c r="D140" s="76">
        <v>862470</v>
      </c>
      <c r="E140" s="79">
        <v>1763784</v>
      </c>
      <c r="F140" s="109">
        <f t="shared" si="23"/>
        <v>1.0450380882813315</v>
      </c>
      <c r="G140" s="36">
        <f t="shared" si="18"/>
        <v>4.5086503067484664E-3</v>
      </c>
      <c r="H140" s="36">
        <f t="shared" si="19"/>
        <v>4.5086503067484664E-3</v>
      </c>
      <c r="I140" s="36">
        <f t="shared" si="20"/>
        <v>3.2130871000796993E-2</v>
      </c>
      <c r="J140" s="36">
        <f t="shared" si="21"/>
        <v>5.362363870371427E-3</v>
      </c>
      <c r="K140" s="36">
        <f t="shared" si="22"/>
        <v>4.5954269448948573E-3</v>
      </c>
    </row>
    <row r="141" spans="1:11" x14ac:dyDescent="0.3">
      <c r="A141" s="262"/>
      <c r="B141" s="262"/>
      <c r="C141" s="29" t="s">
        <v>271</v>
      </c>
      <c r="D141" s="76">
        <v>103498</v>
      </c>
      <c r="E141" s="79">
        <v>170369</v>
      </c>
      <c r="F141" s="109">
        <f t="shared" si="23"/>
        <v>0.64610910355755669</v>
      </c>
      <c r="G141" s="36">
        <f t="shared" si="18"/>
        <v>4.3550357873210635E-4</v>
      </c>
      <c r="H141" s="36">
        <f t="shared" si="19"/>
        <v>4.3550357873210635E-4</v>
      </c>
      <c r="I141" s="36">
        <f t="shared" si="20"/>
        <v>3.103613799385176E-3</v>
      </c>
      <c r="J141" s="36">
        <f t="shared" si="21"/>
        <v>5.1796624202924487E-4</v>
      </c>
      <c r="K141" s="36">
        <f t="shared" si="22"/>
        <v>4.4388558529547375E-4</v>
      </c>
    </row>
    <row r="142" spans="1:11" x14ac:dyDescent="0.3">
      <c r="A142" s="262"/>
      <c r="B142" s="262"/>
      <c r="C142" s="29" t="s">
        <v>272</v>
      </c>
      <c r="D142" s="76">
        <v>862470</v>
      </c>
      <c r="E142" s="79">
        <v>968784</v>
      </c>
      <c r="F142" s="109">
        <f t="shared" si="23"/>
        <v>0.12326689623986921</v>
      </c>
      <c r="G142" s="36">
        <f t="shared" si="18"/>
        <v>2.4764417177914112E-3</v>
      </c>
      <c r="H142" s="36">
        <f t="shared" si="19"/>
        <v>2.4764417177914112E-3</v>
      </c>
      <c r="I142" s="36">
        <f t="shared" si="20"/>
        <v>1.7648347944893544E-2</v>
      </c>
      <c r="J142" s="36">
        <f t="shared" si="21"/>
        <v>2.9453563020153898E-3</v>
      </c>
      <c r="K142" s="36">
        <f t="shared" si="22"/>
        <v>2.524105047660609E-3</v>
      </c>
    </row>
    <row r="143" spans="1:11" x14ac:dyDescent="0.3">
      <c r="A143" s="262"/>
      <c r="B143" s="262"/>
      <c r="C143" s="29" t="s">
        <v>273</v>
      </c>
      <c r="D143" s="76">
        <v>428418</v>
      </c>
      <c r="E143" s="79">
        <v>1350058</v>
      </c>
      <c r="F143" s="109">
        <f t="shared" si="23"/>
        <v>2.1512634856611998</v>
      </c>
      <c r="G143" s="36">
        <f t="shared" si="18"/>
        <v>3.4510685071574643E-3</v>
      </c>
      <c r="H143" s="36">
        <f t="shared" si="19"/>
        <v>3.4510685071574643E-3</v>
      </c>
      <c r="I143" s="36">
        <f t="shared" si="20"/>
        <v>2.4594020266423773E-2</v>
      </c>
      <c r="J143" s="36">
        <f t="shared" si="21"/>
        <v>4.1045288097102074E-3</v>
      </c>
      <c r="K143" s="36">
        <f t="shared" si="22"/>
        <v>3.5174901860833643E-3</v>
      </c>
    </row>
    <row r="144" spans="1:11" x14ac:dyDescent="0.3">
      <c r="A144" s="262"/>
      <c r="B144" s="262"/>
      <c r="C144" s="29" t="s">
        <v>361</v>
      </c>
      <c r="D144" s="76">
        <v>0</v>
      </c>
      <c r="E144" s="79">
        <v>264440</v>
      </c>
      <c r="F144" s="109" t="str">
        <f t="shared" si="23"/>
        <v>N/A</v>
      </c>
      <c r="G144" s="36">
        <f t="shared" si="18"/>
        <v>6.7597137014314924E-4</v>
      </c>
      <c r="H144" s="36">
        <f t="shared" si="19"/>
        <v>6.7597137014314924E-4</v>
      </c>
      <c r="I144" s="36">
        <f t="shared" si="20"/>
        <v>4.8173061596265511E-3</v>
      </c>
      <c r="J144" s="36">
        <f t="shared" si="21"/>
        <v>8.0396664324034015E-4</v>
      </c>
      <c r="K144" s="36">
        <f t="shared" si="22"/>
        <v>6.8898158805613164E-4</v>
      </c>
    </row>
    <row r="145" spans="1:11" ht="14.4" customHeight="1" x14ac:dyDescent="0.3">
      <c r="A145" s="262"/>
      <c r="B145" s="262"/>
      <c r="C145" s="29" t="s">
        <v>274</v>
      </c>
      <c r="D145" s="76">
        <v>124900</v>
      </c>
      <c r="E145" s="79">
        <v>164400</v>
      </c>
      <c r="F145" s="109">
        <f t="shared" si="23"/>
        <v>0.31625300240192156</v>
      </c>
      <c r="G145" s="36">
        <f t="shared" ref="G145:G176" si="24">+E145/$E$5</f>
        <v>4.2024539877300612E-4</v>
      </c>
      <c r="H145" s="36">
        <f t="shared" ref="H145:H176" si="25">+E145/$E$6</f>
        <v>4.2024539877300612E-4</v>
      </c>
      <c r="I145" s="36">
        <f t="shared" ref="I145:I176" si="26">+E145/$D$13</f>
        <v>2.9948764659000343E-3</v>
      </c>
      <c r="J145" s="36">
        <f t="shared" ref="J145:J176" si="27">+E145/$D$14</f>
        <v>4.9981892356947488E-4</v>
      </c>
      <c r="K145" s="36">
        <f t="shared" ref="K145:K176" si="28">+E145/$D$15</f>
        <v>4.283337357299502E-4</v>
      </c>
    </row>
    <row r="146" spans="1:11" x14ac:dyDescent="0.3">
      <c r="A146" s="262"/>
      <c r="B146" s="262"/>
      <c r="C146" s="29" t="s">
        <v>275</v>
      </c>
      <c r="D146" s="76">
        <v>869700</v>
      </c>
      <c r="E146" s="79">
        <v>855500</v>
      </c>
      <c r="F146" s="109">
        <f t="shared" si="23"/>
        <v>-1.632746924226745E-2</v>
      </c>
      <c r="G146" s="36">
        <f t="shared" si="24"/>
        <v>2.1868609406952965E-3</v>
      </c>
      <c r="H146" s="36">
        <f t="shared" si="25"/>
        <v>2.1868609406952965E-3</v>
      </c>
      <c r="I146" s="36">
        <f t="shared" si="26"/>
        <v>1.5584652168962768E-2</v>
      </c>
      <c r="J146" s="36">
        <f t="shared" si="27"/>
        <v>2.6009433644384778E-3</v>
      </c>
      <c r="K146" s="36">
        <f t="shared" si="28"/>
        <v>2.2289507963319491E-3</v>
      </c>
    </row>
    <row r="147" spans="1:11" x14ac:dyDescent="0.3">
      <c r="A147" s="262"/>
      <c r="B147" s="262"/>
      <c r="C147" s="29" t="s">
        <v>276</v>
      </c>
      <c r="D147" s="76">
        <v>1227800</v>
      </c>
      <c r="E147" s="79">
        <v>1207900</v>
      </c>
      <c r="F147" s="109">
        <f t="shared" si="23"/>
        <v>-1.6207851441602868E-2</v>
      </c>
      <c r="G147" s="36">
        <f t="shared" si="24"/>
        <v>3.0876789366053171E-3</v>
      </c>
      <c r="H147" s="36">
        <f t="shared" si="25"/>
        <v>3.0876789366053171E-3</v>
      </c>
      <c r="I147" s="36">
        <f t="shared" si="26"/>
        <v>2.2004326539906638E-2</v>
      </c>
      <c r="J147" s="36">
        <f t="shared" si="27"/>
        <v>3.6723313733550405E-3</v>
      </c>
      <c r="K147" s="36">
        <f t="shared" si="28"/>
        <v>3.1471065656216964E-3</v>
      </c>
    </row>
    <row r="148" spans="1:11" x14ac:dyDescent="0.3">
      <c r="A148" s="262"/>
      <c r="B148" s="262"/>
      <c r="C148" s="29" t="s">
        <v>277</v>
      </c>
      <c r="D148" s="76">
        <v>395200</v>
      </c>
      <c r="E148" s="79">
        <v>406900</v>
      </c>
      <c r="F148" s="109">
        <f t="shared" si="23"/>
        <v>2.9605263157894735E-2</v>
      </c>
      <c r="G148" s="36">
        <f t="shared" si="24"/>
        <v>1.0401329243353782E-3</v>
      </c>
      <c r="H148" s="36">
        <f t="shared" si="25"/>
        <v>1.0401329243353782E-3</v>
      </c>
      <c r="I148" s="36">
        <f t="shared" si="26"/>
        <v>7.4125014232039165E-3</v>
      </c>
      <c r="J148" s="36">
        <f t="shared" si="27"/>
        <v>1.2370822384453728E-3</v>
      </c>
      <c r="K148" s="36">
        <f t="shared" si="28"/>
        <v>1.060152050295114E-3</v>
      </c>
    </row>
    <row r="149" spans="1:11" x14ac:dyDescent="0.3">
      <c r="A149" s="262"/>
      <c r="B149" s="262"/>
      <c r="C149" s="29" t="s">
        <v>278</v>
      </c>
      <c r="D149" s="76">
        <v>298200</v>
      </c>
      <c r="E149" s="79">
        <v>305200</v>
      </c>
      <c r="F149" s="109">
        <f t="shared" si="23"/>
        <v>2.3474178403755867E-2</v>
      </c>
      <c r="G149" s="36">
        <f t="shared" si="24"/>
        <v>7.8016359918200409E-4</v>
      </c>
      <c r="H149" s="36">
        <f t="shared" si="25"/>
        <v>7.8016359918200409E-4</v>
      </c>
      <c r="I149" s="36">
        <f t="shared" si="26"/>
        <v>5.5598314926562677E-3</v>
      </c>
      <c r="J149" s="36">
        <f t="shared" si="27"/>
        <v>9.2788768536133655E-4</v>
      </c>
      <c r="K149" s="36">
        <f t="shared" si="28"/>
        <v>7.951791736300535E-4</v>
      </c>
    </row>
    <row r="150" spans="1:11" x14ac:dyDescent="0.3">
      <c r="A150" s="262"/>
      <c r="B150" s="262"/>
      <c r="C150" s="29" t="s">
        <v>279</v>
      </c>
      <c r="D150" s="76">
        <v>198800</v>
      </c>
      <c r="E150" s="79">
        <v>203500</v>
      </c>
      <c r="F150" s="109">
        <f t="shared" si="23"/>
        <v>2.3641851106639838E-2</v>
      </c>
      <c r="G150" s="36">
        <f t="shared" si="24"/>
        <v>5.2019427402862984E-4</v>
      </c>
      <c r="H150" s="36">
        <f t="shared" si="25"/>
        <v>5.2019427402862984E-4</v>
      </c>
      <c r="I150" s="36">
        <f t="shared" si="26"/>
        <v>3.7071615621086188E-3</v>
      </c>
      <c r="J150" s="36">
        <f t="shared" si="27"/>
        <v>6.1869313227730003E-4</v>
      </c>
      <c r="K150" s="36">
        <f t="shared" si="28"/>
        <v>5.3020629696499315E-4</v>
      </c>
    </row>
    <row r="151" spans="1:11" x14ac:dyDescent="0.3">
      <c r="A151" s="262"/>
      <c r="B151" s="262"/>
      <c r="C151" s="29" t="s">
        <v>289</v>
      </c>
      <c r="D151" s="76">
        <v>2500000</v>
      </c>
      <c r="E151" s="79">
        <v>2500000</v>
      </c>
      <c r="F151" s="109">
        <f t="shared" si="23"/>
        <v>0</v>
      </c>
      <c r="G151" s="36">
        <f t="shared" si="24"/>
        <v>6.3905930470347649E-3</v>
      </c>
      <c r="H151" s="36">
        <f t="shared" si="25"/>
        <v>6.3905930470347649E-3</v>
      </c>
      <c r="I151" s="36">
        <f t="shared" si="26"/>
        <v>4.5542525333029715E-2</v>
      </c>
      <c r="J151" s="36">
        <f t="shared" si="27"/>
        <v>7.6006527306793619E-3</v>
      </c>
      <c r="K151" s="36">
        <f t="shared" si="28"/>
        <v>6.5135908718058121E-3</v>
      </c>
    </row>
    <row r="152" spans="1:11" x14ac:dyDescent="0.3">
      <c r="A152" s="262"/>
      <c r="B152" s="256"/>
      <c r="C152" s="26" t="s">
        <v>362</v>
      </c>
      <c r="D152" s="74">
        <v>18142206</v>
      </c>
      <c r="E152" s="78">
        <f>SUM(E138:E151)</f>
        <v>20546026</v>
      </c>
      <c r="F152" s="110">
        <f t="shared" si="23"/>
        <v>0.13249877109762725</v>
      </c>
      <c r="G152" s="37">
        <f t="shared" si="24"/>
        <v>5.2520516359918203E-2</v>
      </c>
      <c r="H152" s="37">
        <f t="shared" si="25"/>
        <v>5.2520516359918203E-2</v>
      </c>
      <c r="I152" s="37">
        <f t="shared" si="26"/>
        <v>0.37428716383923488</v>
      </c>
      <c r="J152" s="37">
        <f t="shared" si="27"/>
        <v>6.2465283448603665E-2</v>
      </c>
      <c r="K152" s="37">
        <f t="shared" si="28"/>
        <v>5.3531362962193955E-2</v>
      </c>
    </row>
    <row r="153" spans="1:11" x14ac:dyDescent="0.3">
      <c r="A153" s="262"/>
      <c r="B153" s="261" t="s">
        <v>363</v>
      </c>
      <c r="C153" s="29" t="s">
        <v>280</v>
      </c>
      <c r="D153" s="76">
        <v>111956</v>
      </c>
      <c r="E153" s="79">
        <v>55471</v>
      </c>
      <c r="F153" s="109">
        <f t="shared" si="23"/>
        <v>-0.50452856479331165</v>
      </c>
      <c r="G153" s="36">
        <f t="shared" si="24"/>
        <v>1.4179703476482617E-4</v>
      </c>
      <c r="H153" s="36">
        <f t="shared" si="25"/>
        <v>1.4179703476482617E-4</v>
      </c>
      <c r="I153" s="36">
        <f t="shared" si="26"/>
        <v>1.0105157690993966E-3</v>
      </c>
      <c r="J153" s="36">
        <f t="shared" si="27"/>
        <v>1.6864632304940596E-4</v>
      </c>
      <c r="K153" s="36">
        <f t="shared" si="28"/>
        <v>1.4452615969997608E-4</v>
      </c>
    </row>
    <row r="154" spans="1:11" x14ac:dyDescent="0.3">
      <c r="A154" s="262"/>
      <c r="B154" s="262"/>
      <c r="C154" s="29" t="s">
        <v>281</v>
      </c>
      <c r="D154" s="76">
        <v>1109478</v>
      </c>
      <c r="E154" s="79">
        <v>2136918</v>
      </c>
      <c r="F154" s="109">
        <f t="shared" si="23"/>
        <v>0.92605711875314334</v>
      </c>
      <c r="G154" s="36">
        <f t="shared" si="24"/>
        <v>5.462469325153374E-3</v>
      </c>
      <c r="H154" s="36">
        <f t="shared" si="25"/>
        <v>5.462469325153374E-3</v>
      </c>
      <c r="I154" s="36">
        <f t="shared" si="26"/>
        <v>3.8928256859842879E-2</v>
      </c>
      <c r="J154" s="36">
        <f t="shared" si="27"/>
        <v>6.4967886527751524E-3</v>
      </c>
      <c r="K154" s="36">
        <f t="shared" si="28"/>
        <v>5.5676038314390131E-3</v>
      </c>
    </row>
    <row r="155" spans="1:11" x14ac:dyDescent="0.3">
      <c r="A155" s="262"/>
      <c r="B155" s="262"/>
      <c r="C155" s="29" t="s">
        <v>282</v>
      </c>
      <c r="D155" s="76">
        <v>600000</v>
      </c>
      <c r="E155" s="79">
        <v>1200000</v>
      </c>
      <c r="F155" s="109">
        <f t="shared" ref="F155:F186" si="29">IFERROR(+(E155-D155)/D155,"N/A")</f>
        <v>1</v>
      </c>
      <c r="G155" s="36">
        <f t="shared" si="24"/>
        <v>3.0674846625766872E-3</v>
      </c>
      <c r="H155" s="36">
        <f t="shared" si="25"/>
        <v>3.0674846625766872E-3</v>
      </c>
      <c r="I155" s="36">
        <f t="shared" si="26"/>
        <v>2.1860412159854264E-2</v>
      </c>
      <c r="J155" s="36">
        <f t="shared" si="27"/>
        <v>3.6483133107260935E-3</v>
      </c>
      <c r="K155" s="36">
        <f t="shared" si="28"/>
        <v>3.1265236184667899E-3</v>
      </c>
    </row>
    <row r="156" spans="1:11" x14ac:dyDescent="0.3">
      <c r="A156" s="262"/>
      <c r="B156" s="262"/>
      <c r="C156" s="29" t="s">
        <v>285</v>
      </c>
      <c r="D156" s="76">
        <v>116000</v>
      </c>
      <c r="E156" s="79">
        <v>264500</v>
      </c>
      <c r="F156" s="109">
        <f t="shared" si="29"/>
        <v>1.2801724137931034</v>
      </c>
      <c r="G156" s="36">
        <f t="shared" si="24"/>
        <v>6.7612474437627813E-4</v>
      </c>
      <c r="H156" s="36">
        <f t="shared" si="25"/>
        <v>6.7612474437627813E-4</v>
      </c>
      <c r="I156" s="36">
        <f t="shared" si="26"/>
        <v>4.8183991802345444E-3</v>
      </c>
      <c r="J156" s="36">
        <f t="shared" si="27"/>
        <v>8.0414905890587648E-4</v>
      </c>
      <c r="K156" s="36">
        <f t="shared" si="28"/>
        <v>6.8913791423705492E-4</v>
      </c>
    </row>
    <row r="157" spans="1:11" x14ac:dyDescent="0.3">
      <c r="A157" s="262"/>
      <c r="B157" s="262"/>
      <c r="C157" s="29" t="s">
        <v>286</v>
      </c>
      <c r="D157" s="76">
        <v>34700</v>
      </c>
      <c r="E157" s="79">
        <v>398800</v>
      </c>
      <c r="F157" s="109">
        <f t="shared" si="29"/>
        <v>10.492795389048991</v>
      </c>
      <c r="G157" s="36">
        <f t="shared" si="24"/>
        <v>1.0194274028629856E-3</v>
      </c>
      <c r="H157" s="36">
        <f t="shared" si="25"/>
        <v>1.0194274028629856E-3</v>
      </c>
      <c r="I157" s="36">
        <f t="shared" si="26"/>
        <v>7.2649436411249E-3</v>
      </c>
      <c r="J157" s="36">
        <f t="shared" si="27"/>
        <v>1.2124561235979719E-3</v>
      </c>
      <c r="K157" s="36">
        <f t="shared" si="28"/>
        <v>1.0390480158704632E-3</v>
      </c>
    </row>
    <row r="158" spans="1:11" x14ac:dyDescent="0.3">
      <c r="A158" s="262"/>
      <c r="B158" s="262"/>
      <c r="C158" s="29" t="s">
        <v>364</v>
      </c>
      <c r="D158" s="76">
        <v>0</v>
      </c>
      <c r="E158" s="79">
        <v>468580</v>
      </c>
      <c r="F158" s="109" t="str">
        <f t="shared" si="29"/>
        <v>N/A</v>
      </c>
      <c r="G158" s="36">
        <f t="shared" si="24"/>
        <v>1.19780163599182E-3</v>
      </c>
      <c r="H158" s="36">
        <f t="shared" si="25"/>
        <v>1.19780163599182E-3</v>
      </c>
      <c r="I158" s="36">
        <f t="shared" si="26"/>
        <v>8.5361266082204252E-3</v>
      </c>
      <c r="J158" s="36">
        <f t="shared" si="27"/>
        <v>1.4246055426166942E-3</v>
      </c>
      <c r="K158" s="36">
        <f t="shared" si="28"/>
        <v>1.220855364284307E-3</v>
      </c>
    </row>
    <row r="159" spans="1:11" x14ac:dyDescent="0.3">
      <c r="A159" s="262"/>
      <c r="B159" s="262"/>
      <c r="C159" s="29" t="s">
        <v>365</v>
      </c>
      <c r="D159" s="76">
        <v>0</v>
      </c>
      <c r="E159" s="79">
        <v>22000</v>
      </c>
      <c r="F159" s="109" t="str">
        <f t="shared" si="29"/>
        <v>N/A</v>
      </c>
      <c r="G159" s="36">
        <f t="shared" si="24"/>
        <v>5.6237218813905929E-5</v>
      </c>
      <c r="H159" s="36">
        <f t="shared" si="25"/>
        <v>5.6237218813905929E-5</v>
      </c>
      <c r="I159" s="36">
        <f t="shared" si="26"/>
        <v>4.0077422293066152E-4</v>
      </c>
      <c r="J159" s="36">
        <f t="shared" si="27"/>
        <v>6.6885744029978383E-5</v>
      </c>
      <c r="K159" s="36">
        <f t="shared" si="28"/>
        <v>5.7319599671891148E-5</v>
      </c>
    </row>
    <row r="160" spans="1:11" x14ac:dyDescent="0.3">
      <c r="A160" s="262"/>
      <c r="B160" s="262"/>
      <c r="C160" s="29" t="s">
        <v>366</v>
      </c>
      <c r="D160" s="76">
        <v>0</v>
      </c>
      <c r="E160" s="79">
        <v>175000</v>
      </c>
      <c r="F160" s="109" t="str">
        <f t="shared" si="29"/>
        <v>N/A</v>
      </c>
      <c r="G160" s="36">
        <f t="shared" si="24"/>
        <v>4.4734151329243354E-4</v>
      </c>
      <c r="H160" s="36">
        <f t="shared" si="25"/>
        <v>4.4734151329243354E-4</v>
      </c>
      <c r="I160" s="36">
        <f t="shared" si="26"/>
        <v>3.1879767733120801E-3</v>
      </c>
      <c r="J160" s="36">
        <f t="shared" si="27"/>
        <v>5.3204569114755529E-4</v>
      </c>
      <c r="K160" s="36">
        <f t="shared" si="28"/>
        <v>4.5595136102640686E-4</v>
      </c>
    </row>
    <row r="161" spans="1:11" x14ac:dyDescent="0.3">
      <c r="A161" s="262"/>
      <c r="B161" s="262"/>
      <c r="C161" s="29" t="s">
        <v>367</v>
      </c>
      <c r="D161" s="76">
        <v>0</v>
      </c>
      <c r="E161" s="79">
        <v>70200</v>
      </c>
      <c r="F161" s="109" t="str">
        <f t="shared" si="29"/>
        <v>N/A</v>
      </c>
      <c r="G161" s="36">
        <f t="shared" si="24"/>
        <v>1.7944785276073619E-4</v>
      </c>
      <c r="H161" s="36">
        <f t="shared" si="25"/>
        <v>1.7944785276073619E-4</v>
      </c>
      <c r="I161" s="36">
        <f t="shared" si="26"/>
        <v>1.2788341113514744E-3</v>
      </c>
      <c r="J161" s="36">
        <f t="shared" si="27"/>
        <v>2.1342632867747647E-4</v>
      </c>
      <c r="K161" s="36">
        <f t="shared" si="28"/>
        <v>1.829016316803072E-4</v>
      </c>
    </row>
    <row r="162" spans="1:11" x14ac:dyDescent="0.3">
      <c r="A162" s="262"/>
      <c r="B162" s="262"/>
      <c r="C162" s="29" t="s">
        <v>368</v>
      </c>
      <c r="D162" s="76">
        <v>0</v>
      </c>
      <c r="E162" s="79">
        <v>118000</v>
      </c>
      <c r="F162" s="109" t="str">
        <f t="shared" si="29"/>
        <v>N/A</v>
      </c>
      <c r="G162" s="36">
        <f t="shared" si="24"/>
        <v>3.0163599182004089E-4</v>
      </c>
      <c r="H162" s="36">
        <f t="shared" si="25"/>
        <v>3.0163599182004089E-4</v>
      </c>
      <c r="I162" s="36">
        <f t="shared" si="26"/>
        <v>2.1496071957190026E-3</v>
      </c>
      <c r="J162" s="36">
        <f t="shared" si="27"/>
        <v>3.5875080888806587E-4</v>
      </c>
      <c r="K162" s="36">
        <f t="shared" si="28"/>
        <v>3.0744148914923434E-4</v>
      </c>
    </row>
    <row r="163" spans="1:11" x14ac:dyDescent="0.3">
      <c r="A163" s="262"/>
      <c r="B163" s="262"/>
      <c r="C163" s="29" t="s">
        <v>369</v>
      </c>
      <c r="D163" s="76">
        <v>512345</v>
      </c>
      <c r="E163" s="79">
        <v>1020943</v>
      </c>
      <c r="F163" s="109">
        <f t="shared" si="29"/>
        <v>0.99268656862075355</v>
      </c>
      <c r="G163" s="36">
        <f t="shared" si="24"/>
        <v>2.6097724948875257E-3</v>
      </c>
      <c r="H163" s="36">
        <f t="shared" si="25"/>
        <v>2.6097724948875257E-3</v>
      </c>
      <c r="I163" s="36">
        <f t="shared" si="26"/>
        <v>1.8598528976431744E-2</v>
      </c>
      <c r="J163" s="36">
        <f t="shared" si="27"/>
        <v>3.1039332803271921E-3</v>
      </c>
      <c r="K163" s="36">
        <f t="shared" si="28"/>
        <v>2.6600020021736166E-3</v>
      </c>
    </row>
    <row r="164" spans="1:11" x14ac:dyDescent="0.3">
      <c r="A164" s="262"/>
      <c r="B164" s="262"/>
      <c r="C164" s="29" t="s">
        <v>290</v>
      </c>
      <c r="D164" s="76">
        <v>1000</v>
      </c>
      <c r="E164" s="79">
        <v>0</v>
      </c>
      <c r="F164" s="109">
        <f t="shared" si="29"/>
        <v>-1</v>
      </c>
      <c r="G164" s="36">
        <f t="shared" si="24"/>
        <v>0</v>
      </c>
      <c r="H164" s="36">
        <f t="shared" si="25"/>
        <v>0</v>
      </c>
      <c r="I164" s="36">
        <f t="shared" si="26"/>
        <v>0</v>
      </c>
      <c r="J164" s="36">
        <f t="shared" si="27"/>
        <v>0</v>
      </c>
      <c r="K164" s="36">
        <f t="shared" si="28"/>
        <v>0</v>
      </c>
    </row>
    <row r="165" spans="1:11" x14ac:dyDescent="0.3">
      <c r="A165" s="262"/>
      <c r="B165" s="262"/>
      <c r="C165" s="29" t="s">
        <v>291</v>
      </c>
      <c r="D165" s="76">
        <v>398315</v>
      </c>
      <c r="E165" s="79">
        <v>42500</v>
      </c>
      <c r="F165" s="109">
        <f t="shared" si="29"/>
        <v>-0.893300528476206</v>
      </c>
      <c r="G165" s="36">
        <f t="shared" si="24"/>
        <v>1.08640081799591E-4</v>
      </c>
      <c r="H165" s="36">
        <f t="shared" si="25"/>
        <v>1.08640081799591E-4</v>
      </c>
      <c r="I165" s="36">
        <f t="shared" si="26"/>
        <v>7.7422293066150519E-4</v>
      </c>
      <c r="J165" s="36">
        <f t="shared" si="27"/>
        <v>1.2921109642154916E-4</v>
      </c>
      <c r="K165" s="36">
        <f t="shared" si="28"/>
        <v>1.1073104482069881E-4</v>
      </c>
    </row>
    <row r="166" spans="1:11" x14ac:dyDescent="0.3">
      <c r="A166" s="262"/>
      <c r="B166" s="262"/>
      <c r="C166" s="29" t="s">
        <v>292</v>
      </c>
      <c r="D166" s="76">
        <v>0</v>
      </c>
      <c r="E166" s="79">
        <v>13</v>
      </c>
      <c r="F166" s="109" t="str">
        <f t="shared" si="29"/>
        <v>N/A</v>
      </c>
      <c r="G166" s="36">
        <f t="shared" si="24"/>
        <v>3.3231083844580779E-8</v>
      </c>
      <c r="H166" s="36">
        <f t="shared" si="25"/>
        <v>3.3231083844580779E-8</v>
      </c>
      <c r="I166" s="36">
        <f t="shared" si="26"/>
        <v>2.3682113173175451E-7</v>
      </c>
      <c r="J166" s="36">
        <f t="shared" si="27"/>
        <v>3.9523394199532682E-8</v>
      </c>
      <c r="K166" s="36">
        <f t="shared" si="28"/>
        <v>3.3870672533390227E-8</v>
      </c>
    </row>
    <row r="167" spans="1:11" ht="14.4" customHeight="1" x14ac:dyDescent="0.3">
      <c r="A167" s="262"/>
      <c r="B167" s="256"/>
      <c r="C167" s="26" t="s">
        <v>370</v>
      </c>
      <c r="D167" s="74">
        <v>2883794</v>
      </c>
      <c r="E167" s="74">
        <f>SUM(E153:E166)</f>
        <v>5972925</v>
      </c>
      <c r="F167" s="110">
        <f t="shared" si="29"/>
        <v>1.0712037683690305</v>
      </c>
      <c r="G167" s="37">
        <f t="shared" si="24"/>
        <v>1.5268213190184048E-2</v>
      </c>
      <c r="H167" s="37">
        <f t="shared" si="25"/>
        <v>1.5268213190184048E-2</v>
      </c>
      <c r="I167" s="37">
        <f t="shared" si="26"/>
        <v>0.10880883524991461</v>
      </c>
      <c r="J167" s="37">
        <f t="shared" si="27"/>
        <v>1.8159251484557212E-2</v>
      </c>
      <c r="K167" s="37">
        <f t="shared" si="28"/>
        <v>1.5562075903192292E-2</v>
      </c>
    </row>
    <row r="168" spans="1:11" ht="18" customHeight="1" x14ac:dyDescent="0.35">
      <c r="A168" s="262"/>
      <c r="B168" s="266" t="s">
        <v>371</v>
      </c>
      <c r="C168" s="267"/>
      <c r="D168" s="77">
        <v>21026000</v>
      </c>
      <c r="E168" s="77">
        <f>+E167+E152</f>
        <v>26518951</v>
      </c>
      <c r="F168" s="111">
        <f t="shared" si="29"/>
        <v>0.26124564824502994</v>
      </c>
      <c r="G168" s="38">
        <f t="shared" si="24"/>
        <v>6.7788729550102247E-2</v>
      </c>
      <c r="H168" s="38">
        <f t="shared" si="25"/>
        <v>6.7788729550102247E-2</v>
      </c>
      <c r="I168" s="38">
        <f t="shared" si="26"/>
        <v>0.48309599908914952</v>
      </c>
      <c r="J168" s="38">
        <f t="shared" si="27"/>
        <v>8.062453493316088E-2</v>
      </c>
      <c r="K168" s="38">
        <f t="shared" si="28"/>
        <v>6.9093438865386242E-2</v>
      </c>
    </row>
    <row r="169" spans="1:11" x14ac:dyDescent="0.3">
      <c r="A169" s="262"/>
      <c r="B169" s="261" t="s">
        <v>372</v>
      </c>
      <c r="C169" s="29" t="s">
        <v>373</v>
      </c>
      <c r="D169" s="80" t="s">
        <v>374</v>
      </c>
      <c r="E169" s="54">
        <v>353000</v>
      </c>
      <c r="F169" s="109" t="str">
        <f t="shared" si="29"/>
        <v>N/A</v>
      </c>
      <c r="G169" s="36">
        <f t="shared" si="24"/>
        <v>9.0235173824130882E-4</v>
      </c>
      <c r="H169" s="36">
        <f t="shared" si="25"/>
        <v>9.0235173824130882E-4</v>
      </c>
      <c r="I169" s="36">
        <f t="shared" si="26"/>
        <v>6.4306045770237963E-3</v>
      </c>
      <c r="J169" s="36">
        <f t="shared" si="27"/>
        <v>1.073212165571926E-3</v>
      </c>
      <c r="K169" s="36">
        <f t="shared" si="28"/>
        <v>9.1971903109898064E-4</v>
      </c>
    </row>
    <row r="170" spans="1:11" x14ac:dyDescent="0.3">
      <c r="A170" s="262"/>
      <c r="B170" s="262"/>
      <c r="C170" s="26" t="s">
        <v>375</v>
      </c>
      <c r="D170" s="81" t="s">
        <v>374</v>
      </c>
      <c r="E170" s="74">
        <f>SUM(E169)</f>
        <v>353000</v>
      </c>
      <c r="F170" s="110" t="str">
        <f t="shared" si="29"/>
        <v>N/A</v>
      </c>
      <c r="G170" s="37">
        <f t="shared" si="24"/>
        <v>9.0235173824130882E-4</v>
      </c>
      <c r="H170" s="37">
        <f t="shared" si="25"/>
        <v>9.0235173824130882E-4</v>
      </c>
      <c r="I170" s="37">
        <f t="shared" si="26"/>
        <v>6.4306045770237963E-3</v>
      </c>
      <c r="J170" s="37">
        <f t="shared" si="27"/>
        <v>1.073212165571926E-3</v>
      </c>
      <c r="K170" s="37">
        <f t="shared" si="28"/>
        <v>9.1971903109898064E-4</v>
      </c>
    </row>
    <row r="171" spans="1:11" x14ac:dyDescent="0.3">
      <c r="A171" s="262"/>
      <c r="B171" s="262"/>
      <c r="C171" s="29" t="s">
        <v>376</v>
      </c>
      <c r="D171" s="80" t="s">
        <v>374</v>
      </c>
      <c r="E171" s="79">
        <v>400000</v>
      </c>
      <c r="F171" s="109" t="str">
        <f t="shared" si="29"/>
        <v>N/A</v>
      </c>
      <c r="G171" s="36">
        <f t="shared" si="24"/>
        <v>1.0224948875255625E-3</v>
      </c>
      <c r="H171" s="36">
        <f t="shared" si="25"/>
        <v>1.0224948875255625E-3</v>
      </c>
      <c r="I171" s="36">
        <f t="shared" si="26"/>
        <v>7.2868040532847542E-3</v>
      </c>
      <c r="J171" s="36">
        <f t="shared" si="27"/>
        <v>1.216104436908698E-3</v>
      </c>
      <c r="K171" s="36">
        <f t="shared" si="28"/>
        <v>1.04217453948893E-3</v>
      </c>
    </row>
    <row r="172" spans="1:11" x14ac:dyDescent="0.3">
      <c r="A172" s="262"/>
      <c r="B172" s="262"/>
      <c r="C172" s="29" t="s">
        <v>377</v>
      </c>
      <c r="D172" s="80" t="s">
        <v>374</v>
      </c>
      <c r="E172" s="79">
        <v>5474000</v>
      </c>
      <c r="F172" s="109" t="str">
        <f t="shared" si="29"/>
        <v>N/A</v>
      </c>
      <c r="G172" s="36">
        <f t="shared" si="24"/>
        <v>1.3992842535787321E-2</v>
      </c>
      <c r="H172" s="36">
        <f t="shared" si="25"/>
        <v>1.3992842535787321E-2</v>
      </c>
      <c r="I172" s="36">
        <f t="shared" si="26"/>
        <v>9.9719913469201865E-2</v>
      </c>
      <c r="J172" s="36">
        <f t="shared" si="27"/>
        <v>1.664238921909553E-2</v>
      </c>
      <c r="K172" s="36">
        <f t="shared" si="28"/>
        <v>1.4262158572906006E-2</v>
      </c>
    </row>
    <row r="173" spans="1:11" x14ac:dyDescent="0.3">
      <c r="A173" s="262"/>
      <c r="B173" s="262"/>
      <c r="C173" s="29" t="s">
        <v>378</v>
      </c>
      <c r="D173" s="80" t="s">
        <v>374</v>
      </c>
      <c r="E173" s="79">
        <v>432000</v>
      </c>
      <c r="F173" s="109" t="str">
        <f t="shared" si="29"/>
        <v>N/A</v>
      </c>
      <c r="G173" s="36">
        <f t="shared" si="24"/>
        <v>1.1042944785276073E-3</v>
      </c>
      <c r="H173" s="36">
        <f t="shared" si="25"/>
        <v>1.1042944785276073E-3</v>
      </c>
      <c r="I173" s="36">
        <f t="shared" si="26"/>
        <v>7.8697483775475342E-3</v>
      </c>
      <c r="J173" s="36">
        <f t="shared" si="27"/>
        <v>1.3133927918613938E-3</v>
      </c>
      <c r="K173" s="36">
        <f t="shared" si="28"/>
        <v>1.1255485026480444E-3</v>
      </c>
    </row>
    <row r="174" spans="1:11" x14ac:dyDescent="0.3">
      <c r="A174" s="262"/>
      <c r="B174" s="262"/>
      <c r="C174" s="29" t="s">
        <v>379</v>
      </c>
      <c r="D174" s="80" t="s">
        <v>374</v>
      </c>
      <c r="E174" s="79">
        <f>8824000-3500000-3024000</f>
        <v>2300000</v>
      </c>
      <c r="F174" s="109" t="str">
        <f t="shared" si="29"/>
        <v>N/A</v>
      </c>
      <c r="G174" s="36">
        <f t="shared" si="24"/>
        <v>5.8793456032719838E-3</v>
      </c>
      <c r="H174" s="36">
        <f t="shared" si="25"/>
        <v>5.8793456032719838E-3</v>
      </c>
      <c r="I174" s="36">
        <f t="shared" si="26"/>
        <v>4.1899123306387343E-2</v>
      </c>
      <c r="J174" s="36">
        <f t="shared" si="27"/>
        <v>6.9926005122250131E-3</v>
      </c>
      <c r="K174" s="36">
        <f t="shared" si="28"/>
        <v>5.9925036020613475E-3</v>
      </c>
    </row>
    <row r="175" spans="1:11" x14ac:dyDescent="0.3">
      <c r="A175" s="262"/>
      <c r="B175" s="262"/>
      <c r="C175" s="29" t="s">
        <v>380</v>
      </c>
      <c r="D175" s="80" t="s">
        <v>374</v>
      </c>
      <c r="E175" s="79">
        <v>2145867</v>
      </c>
      <c r="F175" s="109" t="str">
        <f t="shared" si="29"/>
        <v>N/A</v>
      </c>
      <c r="G175" s="36">
        <f t="shared" si="24"/>
        <v>5.4853450920245399E-3</v>
      </c>
      <c r="H175" s="36">
        <f t="shared" si="25"/>
        <v>5.4853450920245399E-3</v>
      </c>
      <c r="I175" s="36">
        <f t="shared" si="26"/>
        <v>3.9091280883524988E-2</v>
      </c>
      <c r="J175" s="36">
        <f t="shared" si="27"/>
        <v>6.5239959492898918E-3</v>
      </c>
      <c r="K175" s="36">
        <f t="shared" si="28"/>
        <v>5.590919881323729E-3</v>
      </c>
    </row>
    <row r="176" spans="1:11" x14ac:dyDescent="0.3">
      <c r="A176" s="262"/>
      <c r="B176" s="262"/>
      <c r="C176" s="29" t="s">
        <v>381</v>
      </c>
      <c r="D176" s="80" t="s">
        <v>374</v>
      </c>
      <c r="E176" s="79">
        <f>15882+3024000</f>
        <v>3039882</v>
      </c>
      <c r="F176" s="109" t="str">
        <f t="shared" si="29"/>
        <v>N/A</v>
      </c>
      <c r="G176" s="36">
        <f t="shared" si="24"/>
        <v>7.7706595092024537E-3</v>
      </c>
      <c r="H176" s="36">
        <f t="shared" si="25"/>
        <v>7.7706595092024537E-3</v>
      </c>
      <c r="I176" s="36">
        <f t="shared" si="26"/>
        <v>5.5377561197768418E-2</v>
      </c>
      <c r="J176" s="36">
        <f t="shared" si="27"/>
        <v>9.2420349696972163E-3</v>
      </c>
      <c r="K176" s="36">
        <f t="shared" si="28"/>
        <v>7.920219058626719E-3</v>
      </c>
    </row>
    <row r="177" spans="1:11" x14ac:dyDescent="0.3">
      <c r="A177" s="262"/>
      <c r="B177" s="262"/>
      <c r="C177" s="29" t="s">
        <v>382</v>
      </c>
      <c r="D177" s="80" t="s">
        <v>374</v>
      </c>
      <c r="E177" s="79">
        <f>8025995+3500000</f>
        <v>11525995</v>
      </c>
      <c r="F177" s="109" t="str">
        <f t="shared" si="29"/>
        <v>N/A</v>
      </c>
      <c r="G177" s="36">
        <f t="shared" ref="G177:G186" si="30">+E177/$E$5</f>
        <v>2.9463177402862986E-2</v>
      </c>
      <c r="H177" s="36">
        <f t="shared" ref="H177:H186" si="31">+E177/$E$6</f>
        <v>2.9463177402862986E-2</v>
      </c>
      <c r="I177" s="36">
        <f t="shared" ref="I177:I186" si="32">+E177/$D$13</f>
        <v>0.20996916771034954</v>
      </c>
      <c r="J177" s="36">
        <f t="shared" ref="J177:J186" si="33">+E177/$D$14</f>
        <v>3.5042034148218666E-2</v>
      </c>
      <c r="K177" s="36">
        <f t="shared" ref="K177:K186" si="34">+E177/$D$15</f>
        <v>3.0030246328191772E-2</v>
      </c>
    </row>
    <row r="178" spans="1:11" x14ac:dyDescent="0.3">
      <c r="A178" s="262"/>
      <c r="B178" s="262"/>
      <c r="C178" s="29" t="s">
        <v>383</v>
      </c>
      <c r="D178" s="80" t="s">
        <v>374</v>
      </c>
      <c r="E178" s="79">
        <v>4760000</v>
      </c>
      <c r="F178" s="109" t="str">
        <f t="shared" si="29"/>
        <v>N/A</v>
      </c>
      <c r="G178" s="36">
        <f t="shared" si="30"/>
        <v>1.2167689161554193E-2</v>
      </c>
      <c r="H178" s="36">
        <f t="shared" si="31"/>
        <v>1.2167689161554193E-2</v>
      </c>
      <c r="I178" s="36">
        <f t="shared" si="32"/>
        <v>8.6712968234088583E-2</v>
      </c>
      <c r="J178" s="36">
        <f t="shared" si="33"/>
        <v>1.4471642799213506E-2</v>
      </c>
      <c r="K178" s="36">
        <f t="shared" si="34"/>
        <v>1.2401877019918267E-2</v>
      </c>
    </row>
    <row r="179" spans="1:11" x14ac:dyDescent="0.3">
      <c r="A179" s="262"/>
      <c r="B179" s="262"/>
      <c r="C179" s="26" t="s">
        <v>384</v>
      </c>
      <c r="D179" s="82" t="s">
        <v>374</v>
      </c>
      <c r="E179" s="74">
        <f>SUM(E171:E178)</f>
        <v>30077744</v>
      </c>
      <c r="F179" s="110" t="str">
        <f t="shared" si="29"/>
        <v>N/A</v>
      </c>
      <c r="G179" s="37">
        <f t="shared" si="30"/>
        <v>7.6885848670756651E-2</v>
      </c>
      <c r="H179" s="37">
        <f t="shared" si="31"/>
        <v>7.6885848670756651E-2</v>
      </c>
      <c r="I179" s="37">
        <f t="shared" si="32"/>
        <v>0.54792656723215305</v>
      </c>
      <c r="J179" s="37">
        <f t="shared" si="33"/>
        <v>9.1444194826509922E-2</v>
      </c>
      <c r="K179" s="37">
        <f t="shared" si="34"/>
        <v>7.8365647505164809E-2</v>
      </c>
    </row>
    <row r="180" spans="1:11" x14ac:dyDescent="0.3">
      <c r="A180" s="262"/>
      <c r="B180" s="262"/>
      <c r="C180" s="29" t="s">
        <v>385</v>
      </c>
      <c r="D180" s="80" t="s">
        <v>374</v>
      </c>
      <c r="E180" s="79">
        <v>127913653</v>
      </c>
      <c r="F180" s="109" t="str">
        <f t="shared" si="29"/>
        <v>N/A</v>
      </c>
      <c r="G180" s="36">
        <f t="shared" si="30"/>
        <v>0.32697764059304701</v>
      </c>
      <c r="H180" s="36">
        <f t="shared" si="31"/>
        <v>0.32697764059304701</v>
      </c>
      <c r="I180" s="36">
        <f t="shared" si="32"/>
        <v>2.3302043128771492</v>
      </c>
      <c r="J180" s="36">
        <f t="shared" si="33"/>
        <v>0.38889090238624896</v>
      </c>
      <c r="K180" s="36">
        <f t="shared" si="34"/>
        <v>0.33327088102405444</v>
      </c>
    </row>
    <row r="181" spans="1:11" x14ac:dyDescent="0.3">
      <c r="A181" s="262"/>
      <c r="B181" s="256"/>
      <c r="C181" s="26" t="s">
        <v>386</v>
      </c>
      <c r="D181" s="82" t="s">
        <v>374</v>
      </c>
      <c r="E181" s="74">
        <f>SUM(E180)</f>
        <v>127913653</v>
      </c>
      <c r="F181" s="110" t="str">
        <f t="shared" si="29"/>
        <v>N/A</v>
      </c>
      <c r="G181" s="37">
        <f t="shared" si="30"/>
        <v>0.32697764059304701</v>
      </c>
      <c r="H181" s="37">
        <f t="shared" si="31"/>
        <v>0.32697764059304701</v>
      </c>
      <c r="I181" s="37">
        <f t="shared" si="32"/>
        <v>2.3302043128771492</v>
      </c>
      <c r="J181" s="37">
        <f t="shared" si="33"/>
        <v>0.38889090238624896</v>
      </c>
      <c r="K181" s="37">
        <f t="shared" si="34"/>
        <v>0.33327088102405444</v>
      </c>
    </row>
    <row r="182" spans="1:11" x14ac:dyDescent="0.3">
      <c r="A182" s="262"/>
      <c r="B182" s="263" t="s">
        <v>68</v>
      </c>
      <c r="C182" s="24" t="s">
        <v>387</v>
      </c>
      <c r="D182" s="83">
        <v>0</v>
      </c>
      <c r="E182" s="79">
        <v>20000000</v>
      </c>
      <c r="F182" s="109" t="str">
        <f t="shared" si="29"/>
        <v>N/A</v>
      </c>
      <c r="G182" s="36">
        <f t="shared" si="30"/>
        <v>5.112474437627812E-2</v>
      </c>
      <c r="H182" s="36">
        <f t="shared" si="31"/>
        <v>5.112474437627812E-2</v>
      </c>
      <c r="I182" s="36">
        <f t="shared" si="32"/>
        <v>0.36434020266423772</v>
      </c>
      <c r="J182" s="36">
        <f t="shared" si="33"/>
        <v>6.0805221845434895E-2</v>
      </c>
      <c r="K182" s="36">
        <f t="shared" si="34"/>
        <v>5.2108726974446497E-2</v>
      </c>
    </row>
    <row r="183" spans="1:11" x14ac:dyDescent="0.3">
      <c r="A183" s="256"/>
      <c r="B183" s="256"/>
      <c r="C183" s="26" t="s">
        <v>388</v>
      </c>
      <c r="D183" s="84">
        <v>0</v>
      </c>
      <c r="E183" s="74">
        <f>+E182</f>
        <v>20000000</v>
      </c>
      <c r="F183" s="110" t="str">
        <f t="shared" si="29"/>
        <v>N/A</v>
      </c>
      <c r="G183" s="37">
        <f t="shared" si="30"/>
        <v>5.112474437627812E-2</v>
      </c>
      <c r="H183" s="37">
        <f t="shared" si="31"/>
        <v>5.112474437627812E-2</v>
      </c>
      <c r="I183" s="37">
        <f t="shared" si="32"/>
        <v>0.36434020266423772</v>
      </c>
      <c r="J183" s="37">
        <f t="shared" si="33"/>
        <v>6.0805221845434895E-2</v>
      </c>
      <c r="K183" s="37">
        <f t="shared" si="34"/>
        <v>5.2108726974446497E-2</v>
      </c>
    </row>
    <row r="184" spans="1:11" ht="20.399999999999999" customHeight="1" x14ac:dyDescent="0.35">
      <c r="A184" s="32"/>
      <c r="B184" s="266" t="s">
        <v>389</v>
      </c>
      <c r="C184" s="267"/>
      <c r="D184" s="85">
        <v>0</v>
      </c>
      <c r="E184" s="77">
        <f>+E183+E181+E179+E170</f>
        <v>178344397</v>
      </c>
      <c r="F184" s="111" t="str">
        <f t="shared" si="29"/>
        <v>N/A</v>
      </c>
      <c r="G184" s="38">
        <f t="shared" si="30"/>
        <v>0.45589058537832311</v>
      </c>
      <c r="H184" s="38">
        <f t="shared" si="31"/>
        <v>0.45589058537832311</v>
      </c>
      <c r="I184" s="38">
        <f t="shared" si="32"/>
        <v>3.2489016873505636</v>
      </c>
      <c r="J184" s="38">
        <f t="shared" si="33"/>
        <v>0.5422135312237657</v>
      </c>
      <c r="K184" s="38">
        <f t="shared" si="34"/>
        <v>0.46466497453476474</v>
      </c>
    </row>
    <row r="185" spans="1:11" ht="18" customHeight="1" x14ac:dyDescent="0.35">
      <c r="A185" s="266" t="s">
        <v>390</v>
      </c>
      <c r="B185" s="268"/>
      <c r="C185" s="267"/>
      <c r="D185" s="77">
        <v>141260033.78999999</v>
      </c>
      <c r="E185" s="77">
        <f>+E184+E168+E137+E119+E58</f>
        <v>340529129.5</v>
      </c>
      <c r="F185" s="111">
        <f t="shared" si="29"/>
        <v>1.4106544530934875</v>
      </c>
      <c r="G185" s="41">
        <f t="shared" si="30"/>
        <v>0.87047323491820039</v>
      </c>
      <c r="H185" s="41">
        <f t="shared" si="31"/>
        <v>0.87047323491820039</v>
      </c>
      <c r="I185" s="41">
        <f t="shared" si="32"/>
        <v>6.2034226027553228</v>
      </c>
      <c r="J185" s="41">
        <f t="shared" si="33"/>
        <v>1.0352974632040164</v>
      </c>
      <c r="K185" s="41">
        <f t="shared" si="34"/>
        <v>0.88722697179807175</v>
      </c>
    </row>
    <row r="186" spans="1:11" ht="18" customHeight="1" x14ac:dyDescent="0.35">
      <c r="A186" s="266" t="s">
        <v>391</v>
      </c>
      <c r="B186" s="268"/>
      <c r="C186" s="267"/>
      <c r="D186" s="77">
        <v>195621889.78999999</v>
      </c>
      <c r="E186" s="77">
        <f>+E183+E167+E152+E137+E119+E58+E61+E170+E179+E181</f>
        <v>381288802.5</v>
      </c>
      <c r="F186" s="111">
        <f t="shared" si="29"/>
        <v>0.94911112917533591</v>
      </c>
      <c r="G186" s="41">
        <f t="shared" si="30"/>
        <v>0.97466462806748466</v>
      </c>
      <c r="H186" s="41">
        <f t="shared" si="31"/>
        <v>0.97466462806748466</v>
      </c>
      <c r="I186" s="41">
        <f t="shared" si="32"/>
        <v>6.9459419788227255</v>
      </c>
      <c r="J186" s="41">
        <f t="shared" si="33"/>
        <v>1.1592175111596357</v>
      </c>
      <c r="K186" s="41">
        <f t="shared" si="34"/>
        <v>0.99342370539430769</v>
      </c>
    </row>
    <row r="187" spans="1:11" x14ac:dyDescent="0.3">
      <c r="D187" s="89"/>
    </row>
    <row r="216" ht="17.399999999999999" customHeight="1" x14ac:dyDescent="0.3"/>
  </sheetData>
  <mergeCells count="31">
    <mergeCell ref="A186:C186"/>
    <mergeCell ref="B184:C184"/>
    <mergeCell ref="B168:C168"/>
    <mergeCell ref="D14:E14"/>
    <mergeCell ref="D15:E15"/>
    <mergeCell ref="A4:B15"/>
    <mergeCell ref="A185:C185"/>
    <mergeCell ref="B62:B76"/>
    <mergeCell ref="B77:B118"/>
    <mergeCell ref="B119:C119"/>
    <mergeCell ref="D10:E10"/>
    <mergeCell ref="D11:E11"/>
    <mergeCell ref="D12:E12"/>
    <mergeCell ref="D13:E13"/>
    <mergeCell ref="A16:C16"/>
    <mergeCell ref="A1:K2"/>
    <mergeCell ref="B36:B57"/>
    <mergeCell ref="B182:B183"/>
    <mergeCell ref="A138:A183"/>
    <mergeCell ref="B169:B181"/>
    <mergeCell ref="B153:B167"/>
    <mergeCell ref="B138:B152"/>
    <mergeCell ref="A120:A137"/>
    <mergeCell ref="B120:B133"/>
    <mergeCell ref="B134:B136"/>
    <mergeCell ref="B137:C137"/>
    <mergeCell ref="A17:A61"/>
    <mergeCell ref="B17:B35"/>
    <mergeCell ref="B58:C58"/>
    <mergeCell ref="B59:B61"/>
    <mergeCell ref="A62:A119"/>
  </mergeCells>
  <conditionalFormatting sqref="F120:F132 F36:F56 F77:F117 F138:F181">
    <cfRule type="cellIs" dxfId="61" priority="39" operator="greaterThan">
      <formula>0</formula>
    </cfRule>
    <cfRule type="cellIs" dxfId="60" priority="40" operator="lessThan">
      <formula>0</formula>
    </cfRule>
  </conditionalFormatting>
  <conditionalFormatting sqref="F58">
    <cfRule type="cellIs" dxfId="59" priority="37" operator="greaterThan">
      <formula>0</formula>
    </cfRule>
    <cfRule type="cellIs" dxfId="58" priority="38" operator="lessThan">
      <formula>0</formula>
    </cfRule>
  </conditionalFormatting>
  <conditionalFormatting sqref="F59:F61">
    <cfRule type="cellIs" dxfId="57" priority="35" operator="lessThan">
      <formula>0</formula>
    </cfRule>
    <cfRule type="cellIs" dxfId="56" priority="36" operator="greaterThan">
      <formula>0</formula>
    </cfRule>
  </conditionalFormatting>
  <conditionalFormatting sqref="F62:F75">
    <cfRule type="cellIs" dxfId="55" priority="33" operator="greaterThan">
      <formula>0</formula>
    </cfRule>
    <cfRule type="cellIs" dxfId="54" priority="34" operator="lessThan">
      <formula>0</formula>
    </cfRule>
  </conditionalFormatting>
  <conditionalFormatting sqref="F76">
    <cfRule type="cellIs" dxfId="53" priority="31" operator="greaterThan">
      <formula>0</formula>
    </cfRule>
    <cfRule type="cellIs" dxfId="52" priority="32" operator="lessThan">
      <formula>0</formula>
    </cfRule>
  </conditionalFormatting>
  <conditionalFormatting sqref="F118:F119">
    <cfRule type="cellIs" dxfId="51" priority="27" operator="greaterThan">
      <formula>0</formula>
    </cfRule>
    <cfRule type="cellIs" dxfId="50" priority="28" operator="lessThan">
      <formula>0</formula>
    </cfRule>
  </conditionalFormatting>
  <conditionalFormatting sqref="F17:F35">
    <cfRule type="cellIs" dxfId="49" priority="25" operator="greaterThan">
      <formula>0</formula>
    </cfRule>
    <cfRule type="cellIs" dxfId="48" priority="26" operator="lessThan">
      <formula>0</formula>
    </cfRule>
  </conditionalFormatting>
  <conditionalFormatting sqref="F133">
    <cfRule type="cellIs" dxfId="47" priority="23" operator="greaterThan">
      <formula>0</formula>
    </cfRule>
    <cfRule type="cellIs" dxfId="46" priority="24" operator="lessThan">
      <formula>0</formula>
    </cfRule>
  </conditionalFormatting>
  <conditionalFormatting sqref="F134">
    <cfRule type="cellIs" dxfId="45" priority="21" operator="greaterThan">
      <formula>0</formula>
    </cfRule>
    <cfRule type="cellIs" dxfId="44" priority="22" operator="lessThan">
      <formula>0</formula>
    </cfRule>
  </conditionalFormatting>
  <conditionalFormatting sqref="F135">
    <cfRule type="cellIs" dxfId="43" priority="19" operator="greaterThan">
      <formula>0</formula>
    </cfRule>
    <cfRule type="cellIs" dxfId="42" priority="20" operator="lessThan">
      <formula>0</formula>
    </cfRule>
  </conditionalFormatting>
  <conditionalFormatting sqref="F136">
    <cfRule type="cellIs" dxfId="41" priority="17" operator="greaterThan">
      <formula>0</formula>
    </cfRule>
    <cfRule type="cellIs" dxfId="40" priority="18" operator="lessThan">
      <formula>0</formula>
    </cfRule>
  </conditionalFormatting>
  <conditionalFormatting sqref="F137">
    <cfRule type="cellIs" dxfId="39" priority="15" operator="greaterThan">
      <formula>0</formula>
    </cfRule>
    <cfRule type="cellIs" dxfId="38" priority="16" operator="lessThan">
      <formula>0</formula>
    </cfRule>
  </conditionalFormatting>
  <conditionalFormatting sqref="F182:F183">
    <cfRule type="cellIs" dxfId="37" priority="13" operator="greaterThan">
      <formula>0</formula>
    </cfRule>
    <cfRule type="cellIs" dxfId="36" priority="14" operator="lessThan">
      <formula>0</formula>
    </cfRule>
  </conditionalFormatting>
  <conditionalFormatting sqref="F57">
    <cfRule type="cellIs" dxfId="35" priority="9" operator="greaterThan">
      <formula>0</formula>
    </cfRule>
    <cfRule type="cellIs" dxfId="34" priority="10" operator="lessThan">
      <formula>0</formula>
    </cfRule>
  </conditionalFormatting>
  <conditionalFormatting sqref="F185:F186">
    <cfRule type="cellIs" dxfId="33" priority="3" operator="greaterThan">
      <formula>0</formula>
    </cfRule>
    <cfRule type="cellIs" dxfId="32" priority="4" operator="lessThan">
      <formula>0</formula>
    </cfRule>
  </conditionalFormatting>
  <conditionalFormatting sqref="F184">
    <cfRule type="cellIs" dxfId="31" priority="1" operator="greaterThan">
      <formula>0</formula>
    </cfRule>
    <cfRule type="cellIs" dxfId="30" priority="2" operator="lessThan">
      <formula>0</formula>
    </cfRule>
  </conditionalFormatting>
  <pageMargins left="0.25" right="0.25" top="0.75" bottom="0.75" header="0.3" footer="0.3"/>
  <pageSetup paperSize="9" scale="53" fitToHeight="0" orientation="portrait" r:id="rId1"/>
  <rowBreaks count="1" manualBreakCount="1">
    <brk id="9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06"/>
  <sheetViews>
    <sheetView topLeftCell="A13" zoomScale="90" zoomScaleNormal="90" workbookViewId="0">
      <pane xSplit="2" ySplit="4" topLeftCell="C83" activePane="bottomRight" state="frozen"/>
      <selection activeCell="A13" sqref="A13"/>
      <selection pane="topRight" activeCell="C13" sqref="C13"/>
      <selection pane="bottomLeft" activeCell="A17" sqref="A17"/>
      <selection pane="bottomRight" activeCell="E102" sqref="E102"/>
    </sheetView>
  </sheetViews>
  <sheetFormatPr baseColWidth="10" defaultColWidth="54.109375" defaultRowHeight="14.4" outlineLevelRow="1" x14ac:dyDescent="0.3"/>
  <cols>
    <col min="1" max="1" width="4.33203125" style="106" customWidth="1"/>
    <col min="2" max="2" width="5.33203125" style="106" customWidth="1"/>
    <col min="3" max="3" width="66.6640625" style="106" customWidth="1"/>
    <col min="4" max="4" width="16.88671875" style="106" bestFit="1" customWidth="1"/>
    <col min="5" max="5" width="15.6640625" style="106" bestFit="1" customWidth="1"/>
    <col min="6" max="6" width="13.33203125" style="106" customWidth="1"/>
    <col min="7" max="7" width="9.5546875" style="106" customWidth="1"/>
    <col min="8" max="8" width="11.33203125" style="106" bestFit="1" customWidth="1"/>
    <col min="9" max="9" width="11.33203125" style="98" bestFit="1" customWidth="1"/>
    <col min="10" max="11" width="11.6640625" style="104" customWidth="1"/>
  </cols>
  <sheetData>
    <row r="1" spans="1:11" ht="14.4" customHeight="1" x14ac:dyDescent="0.3">
      <c r="A1" s="260" t="s">
        <v>392</v>
      </c>
      <c r="B1" s="249"/>
      <c r="C1" s="249"/>
      <c r="D1" s="249"/>
      <c r="E1" s="249"/>
      <c r="F1" s="249"/>
      <c r="G1" s="249"/>
      <c r="H1" s="249"/>
      <c r="I1" s="248"/>
      <c r="J1" s="281"/>
      <c r="K1" s="281"/>
    </row>
    <row r="2" spans="1:11" ht="26.4" customHeight="1" x14ac:dyDescent="0.3">
      <c r="A2" s="249"/>
      <c r="B2" s="249"/>
      <c r="C2" s="249"/>
      <c r="D2" s="249"/>
      <c r="E2" s="249"/>
      <c r="F2" s="249"/>
      <c r="G2" s="249"/>
      <c r="H2" s="249"/>
      <c r="I2" s="248"/>
      <c r="J2" s="281"/>
      <c r="K2" s="281"/>
    </row>
    <row r="4" spans="1:11" ht="14.4" customHeight="1" x14ac:dyDescent="0.3">
      <c r="A4" s="280" t="s">
        <v>8</v>
      </c>
      <c r="B4" s="272"/>
      <c r="C4" s="100" t="s">
        <v>1</v>
      </c>
      <c r="D4" s="100" t="s">
        <v>4</v>
      </c>
      <c r="E4" s="100" t="s">
        <v>5</v>
      </c>
    </row>
    <row r="5" spans="1:11" x14ac:dyDescent="0.3">
      <c r="A5" s="249"/>
      <c r="B5" s="272"/>
      <c r="C5" s="3" t="s">
        <v>305</v>
      </c>
      <c r="D5" s="52">
        <v>6</v>
      </c>
      <c r="E5" s="54">
        <v>407000000</v>
      </c>
    </row>
    <row r="6" spans="1:11" x14ac:dyDescent="0.3">
      <c r="A6" s="249"/>
      <c r="B6" s="272"/>
      <c r="C6" s="20" t="s">
        <v>306</v>
      </c>
      <c r="D6" s="52">
        <v>6</v>
      </c>
      <c r="E6" s="54">
        <v>407000000</v>
      </c>
    </row>
    <row r="7" spans="1:11" x14ac:dyDescent="0.3">
      <c r="A7" s="249"/>
      <c r="B7" s="272"/>
      <c r="C7" s="20" t="s">
        <v>307</v>
      </c>
      <c r="D7" s="52">
        <v>0</v>
      </c>
      <c r="E7" s="54">
        <v>0</v>
      </c>
    </row>
    <row r="8" spans="1:11" x14ac:dyDescent="0.3">
      <c r="A8" s="249"/>
      <c r="B8" s="272"/>
      <c r="C8" s="3" t="s">
        <v>308</v>
      </c>
      <c r="D8" s="52">
        <v>5</v>
      </c>
      <c r="E8" s="54">
        <v>341000000</v>
      </c>
    </row>
    <row r="9" spans="1:11" x14ac:dyDescent="0.3">
      <c r="A9" s="249"/>
      <c r="B9" s="272"/>
      <c r="C9" s="3" t="s">
        <v>309</v>
      </c>
      <c r="D9" s="52">
        <v>0</v>
      </c>
      <c r="E9" s="54">
        <v>0</v>
      </c>
    </row>
    <row r="10" spans="1:11" x14ac:dyDescent="0.3">
      <c r="A10" s="249"/>
      <c r="B10" s="272"/>
      <c r="C10" s="21" t="s">
        <v>310</v>
      </c>
      <c r="D10" s="282" t="s">
        <v>5</v>
      </c>
      <c r="E10" s="267"/>
    </row>
    <row r="11" spans="1:11" x14ac:dyDescent="0.3">
      <c r="A11" s="249"/>
      <c r="B11" s="272"/>
      <c r="C11" s="3" t="s">
        <v>311</v>
      </c>
      <c r="D11" s="275">
        <v>10875000</v>
      </c>
      <c r="E11" s="267"/>
    </row>
    <row r="12" spans="1:11" x14ac:dyDescent="0.3">
      <c r="A12" s="249"/>
      <c r="B12" s="272"/>
      <c r="C12" s="3" t="s">
        <v>312</v>
      </c>
      <c r="D12" s="275">
        <v>40000000</v>
      </c>
      <c r="E12" s="267"/>
    </row>
    <row r="13" spans="1:11" x14ac:dyDescent="0.3">
      <c r="A13" s="249"/>
      <c r="B13" s="272"/>
      <c r="C13" s="27" t="s">
        <v>313</v>
      </c>
      <c r="D13" s="269">
        <f>+D11+D12</f>
        <v>50875000</v>
      </c>
      <c r="E13" s="267"/>
    </row>
    <row r="14" spans="1:11" s="25" customFormat="1" x14ac:dyDescent="0.3">
      <c r="A14" s="53"/>
      <c r="B14" s="103"/>
      <c r="C14" s="27" t="s">
        <v>48</v>
      </c>
      <c r="D14" s="269">
        <v>134954502</v>
      </c>
      <c r="E14" s="267"/>
      <c r="I14" s="47"/>
      <c r="J14" s="48"/>
      <c r="K14" s="48"/>
    </row>
    <row r="15" spans="1:11" s="25" customFormat="1" x14ac:dyDescent="0.3">
      <c r="A15" s="53"/>
      <c r="B15" s="103"/>
      <c r="C15" s="27" t="s">
        <v>314</v>
      </c>
      <c r="D15" s="269">
        <f>+D13+D14</f>
        <v>185829502</v>
      </c>
      <c r="E15" s="267"/>
      <c r="I15" s="47"/>
      <c r="J15" s="48"/>
      <c r="K15" s="48"/>
    </row>
    <row r="16" spans="1:11" ht="31.2" customHeight="1" x14ac:dyDescent="0.3">
      <c r="A16" s="276" t="s">
        <v>315</v>
      </c>
      <c r="B16" s="268"/>
      <c r="C16" s="267"/>
      <c r="D16" s="102" t="s">
        <v>316</v>
      </c>
      <c r="E16" s="102" t="s">
        <v>317</v>
      </c>
      <c r="F16" s="102" t="s">
        <v>318</v>
      </c>
      <c r="G16" s="102" t="s">
        <v>319</v>
      </c>
      <c r="H16" s="102" t="s">
        <v>320</v>
      </c>
      <c r="I16" s="102" t="s">
        <v>321</v>
      </c>
      <c r="J16" s="40" t="s">
        <v>323</v>
      </c>
      <c r="K16" s="40" t="s">
        <v>323</v>
      </c>
    </row>
    <row r="17" spans="1:11" ht="14.4" customHeight="1" outlineLevel="1" x14ac:dyDescent="0.3">
      <c r="A17" s="264" t="s">
        <v>54</v>
      </c>
      <c r="B17" s="261" t="s">
        <v>324</v>
      </c>
      <c r="C17" s="13" t="s">
        <v>203</v>
      </c>
      <c r="D17" s="112">
        <v>15846542</v>
      </c>
      <c r="E17" s="73">
        <v>6712850</v>
      </c>
      <c r="F17" s="109">
        <f t="shared" ref="F17:F49" si="0">IFERROR(+(E17-D17)/D17,"N/A")</f>
        <v>-0.57638392022688612</v>
      </c>
      <c r="G17" s="30">
        <f t="shared" ref="G17:G48" si="1">+E17/$E$5</f>
        <v>1.6493488943488944E-2</v>
      </c>
      <c r="H17" s="30">
        <f t="shared" ref="H17:H48" si="2">+E17/$E$6</f>
        <v>1.6493488943488944E-2</v>
      </c>
      <c r="I17" s="36">
        <f t="shared" ref="I17:I48" si="3">+E17/$D$13</f>
        <v>0.13194791154791155</v>
      </c>
      <c r="J17" s="36">
        <f t="shared" ref="J17:J48" si="4">+E17/$D$14</f>
        <v>4.9741578832249701E-2</v>
      </c>
      <c r="K17" s="36">
        <f t="shared" ref="K17:K48" si="5">+E17/$D$15</f>
        <v>3.612370440512723E-2</v>
      </c>
    </row>
    <row r="18" spans="1:11" outlineLevel="1" x14ac:dyDescent="0.3">
      <c r="A18" s="262"/>
      <c r="B18" s="262"/>
      <c r="C18" s="13" t="s">
        <v>204</v>
      </c>
      <c r="D18" s="112">
        <v>182290</v>
      </c>
      <c r="E18" s="73">
        <v>113931</v>
      </c>
      <c r="F18" s="109">
        <f t="shared" si="0"/>
        <v>-0.37500137144111034</v>
      </c>
      <c r="G18" s="30">
        <f t="shared" si="1"/>
        <v>2.7992874692874691E-4</v>
      </c>
      <c r="H18" s="30">
        <f t="shared" si="2"/>
        <v>2.7992874692874691E-4</v>
      </c>
      <c r="I18" s="36">
        <f t="shared" si="3"/>
        <v>2.2394299754299753E-3</v>
      </c>
      <c r="J18" s="36">
        <f t="shared" si="4"/>
        <v>8.4421785351036305E-4</v>
      </c>
      <c r="K18" s="36">
        <f t="shared" si="5"/>
        <v>6.1309425453876529E-4</v>
      </c>
    </row>
    <row r="19" spans="1:11" outlineLevel="1" x14ac:dyDescent="0.3">
      <c r="A19" s="262"/>
      <c r="B19" s="262"/>
      <c r="C19" s="13" t="s">
        <v>205</v>
      </c>
      <c r="D19" s="112">
        <v>1305533</v>
      </c>
      <c r="E19" s="73">
        <v>598369.5</v>
      </c>
      <c r="F19" s="109">
        <f t="shared" si="0"/>
        <v>-0.54166650708944164</v>
      </c>
      <c r="G19" s="30">
        <f t="shared" si="1"/>
        <v>1.4701953316953317E-3</v>
      </c>
      <c r="H19" s="30">
        <f t="shared" si="2"/>
        <v>1.4701953316953317E-3</v>
      </c>
      <c r="I19" s="36">
        <f t="shared" si="3"/>
        <v>1.1761562653562653E-2</v>
      </c>
      <c r="J19" s="36">
        <f t="shared" si="4"/>
        <v>4.4338609763459394E-3</v>
      </c>
      <c r="K19" s="36">
        <f t="shared" si="5"/>
        <v>3.2199919472420476E-3</v>
      </c>
    </row>
    <row r="20" spans="1:11" outlineLevel="1" x14ac:dyDescent="0.3">
      <c r="A20" s="262"/>
      <c r="B20" s="262"/>
      <c r="C20" s="13" t="s">
        <v>206</v>
      </c>
      <c r="D20" s="112">
        <v>2130634.23</v>
      </c>
      <c r="E20" s="73">
        <v>1452011.5</v>
      </c>
      <c r="F20" s="109">
        <f t="shared" si="0"/>
        <v>-0.31850738171985532</v>
      </c>
      <c r="G20" s="30">
        <f t="shared" si="1"/>
        <v>3.5675958230958231E-3</v>
      </c>
      <c r="H20" s="30">
        <f t="shared" si="2"/>
        <v>3.5675958230958231E-3</v>
      </c>
      <c r="I20" s="36">
        <f t="shared" si="3"/>
        <v>2.8540766584766585E-2</v>
      </c>
      <c r="J20" s="36">
        <f t="shared" si="4"/>
        <v>1.0759266852764942E-2</v>
      </c>
      <c r="K20" s="36">
        <f t="shared" si="5"/>
        <v>7.8136758930775155E-3</v>
      </c>
    </row>
    <row r="21" spans="1:11" outlineLevel="1" x14ac:dyDescent="0.3">
      <c r="A21" s="262"/>
      <c r="B21" s="262"/>
      <c r="C21" s="13" t="s">
        <v>207</v>
      </c>
      <c r="D21" s="112">
        <v>211672.88</v>
      </c>
      <c r="E21" s="73">
        <v>69255</v>
      </c>
      <c r="F21" s="109">
        <f t="shared" si="0"/>
        <v>-0.67282062775354123</v>
      </c>
      <c r="G21" s="30">
        <f t="shared" si="1"/>
        <v>1.7015970515970517E-4</v>
      </c>
      <c r="H21" s="30">
        <f t="shared" si="2"/>
        <v>1.7015970515970517E-4</v>
      </c>
      <c r="I21" s="36">
        <f t="shared" si="3"/>
        <v>1.3612776412776414E-3</v>
      </c>
      <c r="J21" s="36">
        <f t="shared" si="4"/>
        <v>5.131729506882253E-4</v>
      </c>
      <c r="K21" s="36">
        <f t="shared" si="5"/>
        <v>3.7268032930530049E-4</v>
      </c>
    </row>
    <row r="22" spans="1:11" outlineLevel="1" x14ac:dyDescent="0.3">
      <c r="A22" s="262"/>
      <c r="B22" s="262"/>
      <c r="C22" s="13" t="s">
        <v>208</v>
      </c>
      <c r="D22" s="112">
        <v>1826510.89</v>
      </c>
      <c r="E22" s="73">
        <v>895921.5</v>
      </c>
      <c r="F22" s="109">
        <f t="shared" si="0"/>
        <v>-0.50949019526513739</v>
      </c>
      <c r="G22" s="30">
        <f t="shared" si="1"/>
        <v>2.2012813267813266E-3</v>
      </c>
      <c r="H22" s="30">
        <f t="shared" si="2"/>
        <v>2.2012813267813266E-3</v>
      </c>
      <c r="I22" s="36">
        <f t="shared" si="3"/>
        <v>1.7610250614250613E-2</v>
      </c>
      <c r="J22" s="36">
        <f t="shared" si="4"/>
        <v>6.6386929426037232E-3</v>
      </c>
      <c r="K22" s="36">
        <f t="shared" si="5"/>
        <v>4.8212016410612776E-3</v>
      </c>
    </row>
    <row r="23" spans="1:11" outlineLevel="1" x14ac:dyDescent="0.3">
      <c r="A23" s="262"/>
      <c r="B23" s="262"/>
      <c r="C23" s="13" t="s">
        <v>209</v>
      </c>
      <c r="D23" s="112">
        <v>3139762</v>
      </c>
      <c r="E23" s="73">
        <v>1039323</v>
      </c>
      <c r="F23" s="109">
        <f t="shared" si="0"/>
        <v>-0.66898032398634033</v>
      </c>
      <c r="G23" s="30">
        <f t="shared" si="1"/>
        <v>2.5536191646191647E-3</v>
      </c>
      <c r="H23" s="30">
        <f t="shared" si="2"/>
        <v>2.5536191646191647E-3</v>
      </c>
      <c r="I23" s="36">
        <f t="shared" si="3"/>
        <v>2.0428953316953317E-2</v>
      </c>
      <c r="J23" s="36">
        <f t="shared" si="4"/>
        <v>7.7012843928689389E-3</v>
      </c>
      <c r="K23" s="36">
        <f t="shared" si="5"/>
        <v>5.5928848154584198E-3</v>
      </c>
    </row>
    <row r="24" spans="1:11" outlineLevel="1" x14ac:dyDescent="0.3">
      <c r="A24" s="262"/>
      <c r="B24" s="262"/>
      <c r="C24" s="13" t="s">
        <v>210</v>
      </c>
      <c r="D24" s="112">
        <v>1000000</v>
      </c>
      <c r="E24" s="73">
        <v>250000</v>
      </c>
      <c r="F24" s="109">
        <f t="shared" si="0"/>
        <v>-0.75</v>
      </c>
      <c r="G24" s="30">
        <f t="shared" si="1"/>
        <v>6.1425061425061424E-4</v>
      </c>
      <c r="H24" s="30">
        <f t="shared" si="2"/>
        <v>6.1425061425061424E-4</v>
      </c>
      <c r="I24" s="36">
        <f t="shared" si="3"/>
        <v>4.9140049140049139E-3</v>
      </c>
      <c r="J24" s="36">
        <f t="shared" si="4"/>
        <v>1.8524761774898033E-3</v>
      </c>
      <c r="K24" s="36">
        <f t="shared" si="5"/>
        <v>1.3453192163212062E-3</v>
      </c>
    </row>
    <row r="25" spans="1:11" outlineLevel="1" x14ac:dyDescent="0.3">
      <c r="A25" s="262"/>
      <c r="B25" s="262"/>
      <c r="C25" s="13" t="s">
        <v>211</v>
      </c>
      <c r="D25" s="112">
        <v>250000</v>
      </c>
      <c r="E25" s="73">
        <v>250000</v>
      </c>
      <c r="F25" s="109">
        <f t="shared" si="0"/>
        <v>0</v>
      </c>
      <c r="G25" s="30">
        <f t="shared" si="1"/>
        <v>6.1425061425061424E-4</v>
      </c>
      <c r="H25" s="30">
        <f t="shared" si="2"/>
        <v>6.1425061425061424E-4</v>
      </c>
      <c r="I25" s="36">
        <f t="shared" si="3"/>
        <v>4.9140049140049139E-3</v>
      </c>
      <c r="J25" s="36">
        <f t="shared" si="4"/>
        <v>1.8524761774898033E-3</v>
      </c>
      <c r="K25" s="36">
        <f t="shared" si="5"/>
        <v>1.3453192163212062E-3</v>
      </c>
    </row>
    <row r="26" spans="1:11" outlineLevel="1" x14ac:dyDescent="0.3">
      <c r="A26" s="262"/>
      <c r="B26" s="262"/>
      <c r="C26" s="13" t="s">
        <v>214</v>
      </c>
      <c r="D26" s="112">
        <v>225200</v>
      </c>
      <c r="E26" s="73">
        <v>121150</v>
      </c>
      <c r="F26" s="109">
        <f t="shared" si="0"/>
        <v>-0.46203374777975131</v>
      </c>
      <c r="G26" s="30">
        <f t="shared" si="1"/>
        <v>2.9766584766584769E-4</v>
      </c>
      <c r="H26" s="30">
        <f t="shared" si="2"/>
        <v>2.9766584766584769E-4</v>
      </c>
      <c r="I26" s="36">
        <f t="shared" si="3"/>
        <v>2.3813267813267815E-3</v>
      </c>
      <c r="J26" s="36">
        <f t="shared" si="4"/>
        <v>8.9770995561155864E-4</v>
      </c>
      <c r="K26" s="36">
        <f t="shared" si="5"/>
        <v>6.5194169222925651E-4</v>
      </c>
    </row>
    <row r="27" spans="1:11" outlineLevel="1" x14ac:dyDescent="0.3">
      <c r="A27" s="262"/>
      <c r="B27" s="262"/>
      <c r="C27" s="13" t="s">
        <v>215</v>
      </c>
      <c r="D27" s="112">
        <v>2230900</v>
      </c>
      <c r="E27" s="73">
        <v>1262250</v>
      </c>
      <c r="F27" s="109">
        <f t="shared" si="0"/>
        <v>-0.43419696086781118</v>
      </c>
      <c r="G27" s="30">
        <f t="shared" si="1"/>
        <v>3.1013513513513512E-3</v>
      </c>
      <c r="H27" s="30">
        <f t="shared" si="2"/>
        <v>3.1013513513513512E-3</v>
      </c>
      <c r="I27" s="36">
        <f t="shared" si="3"/>
        <v>2.481081081081081E-2</v>
      </c>
      <c r="J27" s="36">
        <f t="shared" si="4"/>
        <v>9.353152220146016E-3</v>
      </c>
      <c r="K27" s="36">
        <f t="shared" si="5"/>
        <v>6.7925167232057698E-3</v>
      </c>
    </row>
    <row r="28" spans="1:11" outlineLevel="1" x14ac:dyDescent="0.3">
      <c r="A28" s="262"/>
      <c r="B28" s="262"/>
      <c r="C28" s="13" t="s">
        <v>216</v>
      </c>
      <c r="D28" s="112" t="s">
        <v>393</v>
      </c>
      <c r="E28" s="73">
        <v>2786050</v>
      </c>
      <c r="F28" s="109" t="str">
        <f t="shared" si="0"/>
        <v>N/A</v>
      </c>
      <c r="G28" s="30">
        <f t="shared" si="1"/>
        <v>6.8453316953316955E-3</v>
      </c>
      <c r="H28" s="30">
        <f t="shared" si="2"/>
        <v>6.8453316953316955E-3</v>
      </c>
      <c r="I28" s="36">
        <f t="shared" si="3"/>
        <v>5.4762653562653564E-2</v>
      </c>
      <c r="J28" s="36">
        <f t="shared" si="4"/>
        <v>2.0644365017181865E-2</v>
      </c>
      <c r="K28" s="36">
        <f t="shared" si="5"/>
        <v>1.4992506410526785E-2</v>
      </c>
    </row>
    <row r="29" spans="1:11" outlineLevel="1" x14ac:dyDescent="0.3">
      <c r="A29" s="262"/>
      <c r="B29" s="262"/>
      <c r="C29" s="13" t="s">
        <v>217</v>
      </c>
      <c r="D29" s="112">
        <v>1343000</v>
      </c>
      <c r="E29" s="73">
        <v>725550</v>
      </c>
      <c r="F29" s="109">
        <f t="shared" si="0"/>
        <v>-0.45975428145941921</v>
      </c>
      <c r="G29" s="30">
        <f t="shared" si="1"/>
        <v>1.7826781326781326E-3</v>
      </c>
      <c r="H29" s="30">
        <f t="shared" si="2"/>
        <v>1.7826781326781326E-3</v>
      </c>
      <c r="I29" s="36">
        <f t="shared" si="3"/>
        <v>1.4261425061425061E-2</v>
      </c>
      <c r="J29" s="36">
        <f t="shared" si="4"/>
        <v>5.3762563623109072E-3</v>
      </c>
      <c r="K29" s="36">
        <f t="shared" si="5"/>
        <v>3.9043854296074041E-3</v>
      </c>
    </row>
    <row r="30" spans="1:11" outlineLevel="1" x14ac:dyDescent="0.3">
      <c r="A30" s="262"/>
      <c r="B30" s="262"/>
      <c r="C30" s="13" t="s">
        <v>218</v>
      </c>
      <c r="D30" s="112">
        <v>532000</v>
      </c>
      <c r="E30" s="73">
        <v>260350</v>
      </c>
      <c r="F30" s="109">
        <f t="shared" si="0"/>
        <v>-0.5106203007518797</v>
      </c>
      <c r="G30" s="30">
        <f t="shared" si="1"/>
        <v>6.3968058968058973E-4</v>
      </c>
      <c r="H30" s="30">
        <f t="shared" si="2"/>
        <v>6.3968058968058973E-4</v>
      </c>
      <c r="I30" s="36">
        <f t="shared" si="3"/>
        <v>5.1174447174447179E-3</v>
      </c>
      <c r="J30" s="36">
        <f t="shared" si="4"/>
        <v>1.9291686912378809E-3</v>
      </c>
      <c r="K30" s="36">
        <f t="shared" si="5"/>
        <v>1.4010154318769041E-3</v>
      </c>
    </row>
    <row r="31" spans="1:11" outlineLevel="1" x14ac:dyDescent="0.3">
      <c r="A31" s="262"/>
      <c r="B31" s="262"/>
      <c r="C31" s="13" t="s">
        <v>219</v>
      </c>
      <c r="D31" s="112">
        <v>354900</v>
      </c>
      <c r="E31" s="73">
        <v>173750</v>
      </c>
      <c r="F31" s="109">
        <f t="shared" si="0"/>
        <v>-0.51042547196393351</v>
      </c>
      <c r="G31" s="30">
        <f t="shared" si="1"/>
        <v>4.2690417690417689E-4</v>
      </c>
      <c r="H31" s="30">
        <f t="shared" si="2"/>
        <v>4.2690417690417689E-4</v>
      </c>
      <c r="I31" s="36">
        <f t="shared" si="3"/>
        <v>3.4152334152334151E-3</v>
      </c>
      <c r="J31" s="36">
        <f t="shared" si="4"/>
        <v>1.2874709433554133E-3</v>
      </c>
      <c r="K31" s="36">
        <f t="shared" si="5"/>
        <v>9.3499685534323819E-4</v>
      </c>
    </row>
    <row r="32" spans="1:11" outlineLevel="1" x14ac:dyDescent="0.3">
      <c r="A32" s="262"/>
      <c r="B32" s="262"/>
      <c r="C32" s="13" t="s">
        <v>213</v>
      </c>
      <c r="D32" s="112">
        <v>976560</v>
      </c>
      <c r="E32" s="73">
        <v>0</v>
      </c>
      <c r="F32" s="109">
        <f t="shared" si="0"/>
        <v>-1</v>
      </c>
      <c r="G32" s="30">
        <f t="shared" si="1"/>
        <v>0</v>
      </c>
      <c r="H32" s="30">
        <f t="shared" si="2"/>
        <v>0</v>
      </c>
      <c r="I32" s="36">
        <f t="shared" si="3"/>
        <v>0</v>
      </c>
      <c r="J32" s="36">
        <f t="shared" si="4"/>
        <v>0</v>
      </c>
      <c r="K32" s="36">
        <f t="shared" si="5"/>
        <v>0</v>
      </c>
    </row>
    <row r="33" spans="1:12" outlineLevel="1" x14ac:dyDescent="0.3">
      <c r="A33" s="262"/>
      <c r="B33" s="262"/>
      <c r="C33" s="13" t="s">
        <v>220</v>
      </c>
      <c r="D33" s="112">
        <v>55800</v>
      </c>
      <c r="E33" s="73">
        <v>55800</v>
      </c>
      <c r="F33" s="109">
        <f t="shared" si="0"/>
        <v>0</v>
      </c>
      <c r="G33" s="30">
        <f t="shared" si="1"/>
        <v>1.3710073710073711E-4</v>
      </c>
      <c r="H33" s="30">
        <f t="shared" si="2"/>
        <v>1.3710073710073711E-4</v>
      </c>
      <c r="I33" s="36">
        <f t="shared" si="3"/>
        <v>1.0968058968058969E-3</v>
      </c>
      <c r="J33" s="36">
        <f t="shared" si="4"/>
        <v>4.1347268281572406E-4</v>
      </c>
      <c r="K33" s="36">
        <f t="shared" si="5"/>
        <v>3.0027524908289322E-4</v>
      </c>
    </row>
    <row r="34" spans="1:12" outlineLevel="1" x14ac:dyDescent="0.3">
      <c r="A34" s="262"/>
      <c r="B34" s="262"/>
      <c r="C34" s="13" t="s">
        <v>221</v>
      </c>
      <c r="D34" s="112">
        <v>25840</v>
      </c>
      <c r="E34" s="73">
        <v>17765</v>
      </c>
      <c r="F34" s="109">
        <f t="shared" si="0"/>
        <v>-0.3125</v>
      </c>
      <c r="G34" s="30">
        <f t="shared" si="1"/>
        <v>4.3648648648648648E-5</v>
      </c>
      <c r="H34" s="30">
        <f t="shared" si="2"/>
        <v>4.3648648648648648E-5</v>
      </c>
      <c r="I34" s="36">
        <f t="shared" si="3"/>
        <v>3.4918918918918918E-4</v>
      </c>
      <c r="J34" s="36">
        <f t="shared" si="4"/>
        <v>1.3163695717242541E-4</v>
      </c>
      <c r="K34" s="36">
        <f t="shared" si="5"/>
        <v>9.5598383511784899E-5</v>
      </c>
    </row>
    <row r="35" spans="1:12" x14ac:dyDescent="0.3">
      <c r="A35" s="262"/>
      <c r="B35" s="256"/>
      <c r="C35" s="19" t="s">
        <v>325</v>
      </c>
      <c r="D35" s="113">
        <v>36660345</v>
      </c>
      <c r="E35" s="75">
        <v>16784326.5</v>
      </c>
      <c r="F35" s="110">
        <f t="shared" si="0"/>
        <v>-0.54216670628713393</v>
      </c>
      <c r="G35" s="31">
        <f t="shared" si="1"/>
        <v>4.1239131449631448E-2</v>
      </c>
      <c r="H35" s="31">
        <f t="shared" si="2"/>
        <v>4.1239131449631448E-2</v>
      </c>
      <c r="I35" s="37">
        <f t="shared" si="3"/>
        <v>0.32991305159705159</v>
      </c>
      <c r="J35" s="37">
        <f t="shared" si="4"/>
        <v>0.12437025998584322</v>
      </c>
      <c r="K35" s="37">
        <f t="shared" si="5"/>
        <v>9.0321107893837002E-2</v>
      </c>
    </row>
    <row r="36" spans="1:12" outlineLevel="1" x14ac:dyDescent="0.3">
      <c r="A36" s="262"/>
      <c r="B36" s="261" t="s">
        <v>326</v>
      </c>
      <c r="C36" s="18" t="s">
        <v>225</v>
      </c>
      <c r="D36" s="114">
        <f>+VLOOKUP(C36,Hoja2!$A$105:$F$143,6,FALSE)</f>
        <v>7230000</v>
      </c>
      <c r="E36" s="115">
        <v>6885000</v>
      </c>
      <c r="F36" s="109">
        <f t="shared" si="0"/>
        <v>-4.7717842323651449E-2</v>
      </c>
      <c r="G36" s="30">
        <f t="shared" si="1"/>
        <v>1.6916461916461917E-2</v>
      </c>
      <c r="H36" s="30">
        <f t="shared" si="2"/>
        <v>1.6916461916461917E-2</v>
      </c>
      <c r="I36" s="36">
        <f t="shared" si="3"/>
        <v>0.13533169533169534</v>
      </c>
      <c r="J36" s="36">
        <f t="shared" si="4"/>
        <v>5.1017193928069179E-2</v>
      </c>
      <c r="K36" s="36">
        <f t="shared" si="5"/>
        <v>3.7050091217486016E-2</v>
      </c>
    </row>
    <row r="37" spans="1:12" outlineLevel="1" x14ac:dyDescent="0.3">
      <c r="A37" s="262"/>
      <c r="B37" s="262"/>
      <c r="C37" s="18" t="s">
        <v>227</v>
      </c>
      <c r="D37" s="114">
        <f>+VLOOKUP(C37,Hoja2!$A$105:$F$143,6,FALSE)</f>
        <v>9782460</v>
      </c>
      <c r="E37" s="115">
        <f>13381632+5383590</f>
        <v>18765222</v>
      </c>
      <c r="F37" s="109">
        <f t="shared" si="0"/>
        <v>0.91825185076146487</v>
      </c>
      <c r="G37" s="30">
        <f t="shared" si="1"/>
        <v>4.6106196560196558E-2</v>
      </c>
      <c r="H37" s="30">
        <f t="shared" si="2"/>
        <v>4.6106196560196558E-2</v>
      </c>
      <c r="I37" s="36">
        <f t="shared" si="3"/>
        <v>0.36884957248157246</v>
      </c>
      <c r="J37" s="36">
        <f t="shared" si="4"/>
        <v>0.13904850688123024</v>
      </c>
      <c r="K37" s="36">
        <f t="shared" si="5"/>
        <v>0.10098085502053382</v>
      </c>
      <c r="L37" s="116"/>
    </row>
    <row r="38" spans="1:12" outlineLevel="1" x14ac:dyDescent="0.3">
      <c r="A38" s="262"/>
      <c r="B38" s="262"/>
      <c r="C38" s="18" t="s">
        <v>228</v>
      </c>
      <c r="D38" s="114">
        <f>+VLOOKUP(C38,Hoja2!$A$105:$F$143,6,FALSE)</f>
        <v>0</v>
      </c>
      <c r="E38" s="115">
        <v>223900</v>
      </c>
      <c r="F38" s="109" t="str">
        <f t="shared" si="0"/>
        <v>N/A</v>
      </c>
      <c r="G38" s="30">
        <f t="shared" si="1"/>
        <v>5.5012285012285016E-4</v>
      </c>
      <c r="H38" s="30">
        <f t="shared" si="2"/>
        <v>5.5012285012285016E-4</v>
      </c>
      <c r="I38" s="36">
        <f t="shared" si="3"/>
        <v>4.4009828009828013E-3</v>
      </c>
      <c r="J38" s="36">
        <f t="shared" si="4"/>
        <v>1.6590776645598678E-3</v>
      </c>
      <c r="K38" s="36">
        <f t="shared" si="5"/>
        <v>1.2048678901372721E-3</v>
      </c>
    </row>
    <row r="39" spans="1:12" outlineLevel="1" x14ac:dyDescent="0.3">
      <c r="A39" s="262"/>
      <c r="B39" s="262"/>
      <c r="C39" s="18" t="s">
        <v>231</v>
      </c>
      <c r="D39" s="114">
        <f>+VLOOKUP(C39,Hoja2!$A$105:$F$143,6,FALSE)</f>
        <v>0</v>
      </c>
      <c r="E39" s="115">
        <v>1414000</v>
      </c>
      <c r="F39" s="109" t="str">
        <f t="shared" si="0"/>
        <v>N/A</v>
      </c>
      <c r="G39" s="30">
        <f t="shared" si="1"/>
        <v>3.4742014742014742E-3</v>
      </c>
      <c r="H39" s="30">
        <f t="shared" si="2"/>
        <v>3.4742014742014742E-3</v>
      </c>
      <c r="I39" s="36">
        <f t="shared" si="3"/>
        <v>2.7793611793611794E-2</v>
      </c>
      <c r="J39" s="36">
        <f t="shared" si="4"/>
        <v>1.0477605259882327E-2</v>
      </c>
      <c r="K39" s="36">
        <f t="shared" si="5"/>
        <v>7.6091254875127416E-3</v>
      </c>
    </row>
    <row r="40" spans="1:12" outlineLevel="1" x14ac:dyDescent="0.3">
      <c r="A40" s="262"/>
      <c r="B40" s="262"/>
      <c r="C40" s="18" t="s">
        <v>232</v>
      </c>
      <c r="D40" s="114">
        <f>+VLOOKUP(C40,Hoja2!$A$105:$F$143,6,FALSE)</f>
        <v>938796</v>
      </c>
      <c r="E40" s="115">
        <v>444370</v>
      </c>
      <c r="F40" s="109">
        <f t="shared" si="0"/>
        <v>-0.52665967899309329</v>
      </c>
      <c r="G40" s="30">
        <f t="shared" si="1"/>
        <v>1.0918181818181819E-3</v>
      </c>
      <c r="H40" s="30">
        <f t="shared" si="2"/>
        <v>1.0918181818181819E-3</v>
      </c>
      <c r="I40" s="36">
        <f t="shared" si="3"/>
        <v>8.7345454545454549E-3</v>
      </c>
      <c r="J40" s="36">
        <f t="shared" si="4"/>
        <v>3.2927393559645753E-3</v>
      </c>
      <c r="K40" s="36">
        <f t="shared" si="5"/>
        <v>2.3912780006266174E-3</v>
      </c>
    </row>
    <row r="41" spans="1:12" outlineLevel="1" x14ac:dyDescent="0.3">
      <c r="A41" s="262"/>
      <c r="B41" s="262"/>
      <c r="C41" s="18" t="s">
        <v>235</v>
      </c>
      <c r="D41" s="114">
        <f>+VLOOKUP(C41,Hoja2!$A$105:$F$143,6,FALSE)</f>
        <v>394000</v>
      </c>
      <c r="E41" s="115">
        <v>37000</v>
      </c>
      <c r="F41" s="109">
        <f t="shared" si="0"/>
        <v>-0.90609137055837563</v>
      </c>
      <c r="G41" s="30">
        <f t="shared" si="1"/>
        <v>9.0909090909090904E-5</v>
      </c>
      <c r="H41" s="30">
        <f t="shared" si="2"/>
        <v>9.0909090909090904E-5</v>
      </c>
      <c r="I41" s="36">
        <f t="shared" si="3"/>
        <v>7.2727272727272723E-4</v>
      </c>
      <c r="J41" s="36">
        <f t="shared" si="4"/>
        <v>2.7416647426849086E-4</v>
      </c>
      <c r="K41" s="36">
        <f t="shared" si="5"/>
        <v>1.991072440155385E-4</v>
      </c>
    </row>
    <row r="42" spans="1:12" outlineLevel="1" x14ac:dyDescent="0.3">
      <c r="A42" s="262"/>
      <c r="B42" s="262"/>
      <c r="C42" s="18" t="s">
        <v>236</v>
      </c>
      <c r="D42" s="114">
        <f>+VLOOKUP(C42,Hoja2!$A$105:$F$143,6,FALSE)</f>
        <v>100000</v>
      </c>
      <c r="E42" s="115">
        <v>400000</v>
      </c>
      <c r="F42" s="109">
        <f t="shared" si="0"/>
        <v>3</v>
      </c>
      <c r="G42" s="30">
        <f t="shared" si="1"/>
        <v>9.8280098280098278E-4</v>
      </c>
      <c r="H42" s="30">
        <f t="shared" si="2"/>
        <v>9.8280098280098278E-4</v>
      </c>
      <c r="I42" s="36">
        <f t="shared" si="3"/>
        <v>7.8624078624078622E-3</v>
      </c>
      <c r="J42" s="36">
        <f t="shared" si="4"/>
        <v>2.9639618839836851E-3</v>
      </c>
      <c r="K42" s="36">
        <f t="shared" si="5"/>
        <v>2.1525107461139296E-3</v>
      </c>
    </row>
    <row r="43" spans="1:12" outlineLevel="1" x14ac:dyDescent="0.3">
      <c r="A43" s="262"/>
      <c r="B43" s="262"/>
      <c r="C43" s="18" t="s">
        <v>239</v>
      </c>
      <c r="D43" s="114">
        <f>+VLOOKUP(C43,Hoja2!$A$105:$F$143,6,FALSE)</f>
        <v>192000</v>
      </c>
      <c r="E43" s="115">
        <v>312000</v>
      </c>
      <c r="F43" s="109">
        <f t="shared" si="0"/>
        <v>0.625</v>
      </c>
      <c r="G43" s="30">
        <f t="shared" si="1"/>
        <v>7.6658476658476654E-4</v>
      </c>
      <c r="H43" s="30">
        <f t="shared" si="2"/>
        <v>7.6658476658476654E-4</v>
      </c>
      <c r="I43" s="36">
        <f t="shared" si="3"/>
        <v>6.1326781326781323E-3</v>
      </c>
      <c r="J43" s="36">
        <f t="shared" si="4"/>
        <v>2.3118902695072742E-3</v>
      </c>
      <c r="K43" s="36">
        <f t="shared" si="5"/>
        <v>1.6789583819688651E-3</v>
      </c>
    </row>
    <row r="44" spans="1:12" outlineLevel="1" x14ac:dyDescent="0.3">
      <c r="A44" s="262"/>
      <c r="B44" s="262"/>
      <c r="C44" s="18" t="s">
        <v>241</v>
      </c>
      <c r="D44" s="114">
        <f>+VLOOKUP(C44,Hoja2!$A$105:$F$143,6,FALSE)</f>
        <v>610000</v>
      </c>
      <c r="E44" s="115">
        <v>480617</v>
      </c>
      <c r="F44" s="109">
        <f t="shared" si="0"/>
        <v>-0.21210327868852458</v>
      </c>
      <c r="G44" s="30">
        <f t="shared" si="1"/>
        <v>1.1808771498771499E-3</v>
      </c>
      <c r="H44" s="30">
        <f t="shared" si="2"/>
        <v>1.1808771498771499E-3</v>
      </c>
      <c r="I44" s="36">
        <f t="shared" si="3"/>
        <v>9.4470171990171988E-3</v>
      </c>
      <c r="J44" s="36">
        <f t="shared" si="4"/>
        <v>3.5613261719864668E-3</v>
      </c>
      <c r="K44" s="36">
        <f t="shared" si="5"/>
        <v>2.5863331431625965E-3</v>
      </c>
    </row>
    <row r="45" spans="1:12" outlineLevel="1" x14ac:dyDescent="0.3">
      <c r="A45" s="262"/>
      <c r="B45" s="262"/>
      <c r="C45" s="18" t="s">
        <v>244</v>
      </c>
      <c r="D45" s="114">
        <f>+VLOOKUP(C45,Hoja2!$A$105:$F$143,6,FALSE)</f>
        <v>54950</v>
      </c>
      <c r="E45" s="115">
        <v>807000</v>
      </c>
      <c r="F45" s="109">
        <f t="shared" si="0"/>
        <v>13.686078252957234</v>
      </c>
      <c r="G45" s="30">
        <f t="shared" si="1"/>
        <v>1.9828009828009828E-3</v>
      </c>
      <c r="H45" s="30">
        <f t="shared" si="2"/>
        <v>1.9828009828009828E-3</v>
      </c>
      <c r="I45" s="36">
        <f t="shared" si="3"/>
        <v>1.5862407862407862E-2</v>
      </c>
      <c r="J45" s="36">
        <f t="shared" si="4"/>
        <v>5.9797931009370848E-3</v>
      </c>
      <c r="K45" s="36">
        <f t="shared" si="5"/>
        <v>4.3426904302848535E-3</v>
      </c>
    </row>
    <row r="46" spans="1:12" outlineLevel="1" x14ac:dyDescent="0.3">
      <c r="A46" s="262"/>
      <c r="B46" s="262"/>
      <c r="C46" s="18" t="s">
        <v>248</v>
      </c>
      <c r="D46" s="114">
        <f>+VLOOKUP(C46,Hoja2!$A$105:$F$143,6,FALSE)</f>
        <v>200000</v>
      </c>
      <c r="E46" s="115">
        <v>200000</v>
      </c>
      <c r="F46" s="109">
        <f t="shared" si="0"/>
        <v>0</v>
      </c>
      <c r="G46" s="30">
        <f t="shared" si="1"/>
        <v>4.9140049140049139E-4</v>
      </c>
      <c r="H46" s="30">
        <f t="shared" si="2"/>
        <v>4.9140049140049139E-4</v>
      </c>
      <c r="I46" s="36">
        <f t="shared" si="3"/>
        <v>3.9312039312039311E-3</v>
      </c>
      <c r="J46" s="36">
        <f t="shared" si="4"/>
        <v>1.4819809419918425E-3</v>
      </c>
      <c r="K46" s="36">
        <f t="shared" si="5"/>
        <v>1.0762553730569648E-3</v>
      </c>
    </row>
    <row r="47" spans="1:12" outlineLevel="1" x14ac:dyDescent="0.3">
      <c r="A47" s="262"/>
      <c r="B47" s="262"/>
      <c r="C47" s="18" t="s">
        <v>253</v>
      </c>
      <c r="D47" s="114">
        <f>+VLOOKUP(C47,Hoja2!$A$105:$F$143,6,FALSE)</f>
        <v>793500</v>
      </c>
      <c r="E47" s="115">
        <v>288000</v>
      </c>
      <c r="F47" s="109">
        <f t="shared" si="0"/>
        <v>-0.63705103969754251</v>
      </c>
      <c r="G47" s="30">
        <f t="shared" si="1"/>
        <v>7.0761670761670763E-4</v>
      </c>
      <c r="H47" s="30">
        <f t="shared" si="2"/>
        <v>7.0761670761670763E-4</v>
      </c>
      <c r="I47" s="36">
        <f t="shared" si="3"/>
        <v>5.660933660933661E-3</v>
      </c>
      <c r="J47" s="36">
        <f t="shared" si="4"/>
        <v>2.1340525564682534E-3</v>
      </c>
      <c r="K47" s="36">
        <f t="shared" si="5"/>
        <v>1.5498077372020295E-3</v>
      </c>
    </row>
    <row r="48" spans="1:12" outlineLevel="1" x14ac:dyDescent="0.3">
      <c r="A48" s="262"/>
      <c r="B48" s="262"/>
      <c r="C48" s="18" t="s">
        <v>260</v>
      </c>
      <c r="D48" s="114">
        <f>+VLOOKUP(C48,Hoja2!$A$105:$F$143,6,FALSE)</f>
        <v>0</v>
      </c>
      <c r="E48" s="115">
        <v>128767</v>
      </c>
      <c r="F48" s="109" t="str">
        <f t="shared" si="0"/>
        <v>N/A</v>
      </c>
      <c r="G48" s="30">
        <f t="shared" si="1"/>
        <v>3.1638083538083536E-4</v>
      </c>
      <c r="H48" s="30">
        <f t="shared" si="2"/>
        <v>3.1638083538083536E-4</v>
      </c>
      <c r="I48" s="36">
        <f t="shared" si="3"/>
        <v>2.5310466830466829E-3</v>
      </c>
      <c r="J48" s="36">
        <f t="shared" si="4"/>
        <v>9.5415119978731796E-4</v>
      </c>
      <c r="K48" s="36">
        <f t="shared" si="5"/>
        <v>6.9293087811213099E-4</v>
      </c>
    </row>
    <row r="49" spans="1:11" outlineLevel="1" x14ac:dyDescent="0.3">
      <c r="A49" s="262"/>
      <c r="B49" s="262"/>
      <c r="C49" s="18" t="s">
        <v>261</v>
      </c>
      <c r="D49" s="114">
        <f>+VLOOKUP(C49,Hoja2!$A$105:$F$143,6,FALSE)</f>
        <v>0</v>
      </c>
      <c r="E49" s="115">
        <v>984149</v>
      </c>
      <c r="F49" s="109" t="str">
        <f t="shared" si="0"/>
        <v>N/A</v>
      </c>
      <c r="G49" s="30">
        <f t="shared" ref="G49:G80" si="6">+E49/$E$5</f>
        <v>2.4180565110565109E-3</v>
      </c>
      <c r="H49" s="30">
        <f t="shared" ref="H49:H80" si="7">+E49/$E$6</f>
        <v>2.4180565110565109E-3</v>
      </c>
      <c r="I49" s="36">
        <f t="shared" ref="I49:I80" si="8">+E49/$D$13</f>
        <v>1.9344452088452087E-2</v>
      </c>
      <c r="J49" s="36">
        <f t="shared" ref="J49:J80" si="9">+E49/$D$14</f>
        <v>7.2924503104016495E-3</v>
      </c>
      <c r="K49" s="36">
        <f t="shared" ref="K49:K80" si="10">+E49/$D$15</f>
        <v>5.2959782456931948E-3</v>
      </c>
    </row>
    <row r="50" spans="1:11" x14ac:dyDescent="0.3">
      <c r="A50" s="262"/>
      <c r="B50" s="256"/>
      <c r="C50" s="19" t="s">
        <v>327</v>
      </c>
      <c r="D50" s="113">
        <f>SUM(D36:D49)</f>
        <v>20295706</v>
      </c>
      <c r="E50" s="113">
        <f>SUM(E36:E49)</f>
        <v>31370025</v>
      </c>
      <c r="F50" s="110">
        <f>+(E50-D50)/D50</f>
        <v>0.54564837507993069</v>
      </c>
      <c r="G50" s="31">
        <f t="shared" si="6"/>
        <v>7.70762285012285E-2</v>
      </c>
      <c r="H50" s="31">
        <f t="shared" si="7"/>
        <v>7.70762285012285E-2</v>
      </c>
      <c r="I50" s="37">
        <f t="shared" si="8"/>
        <v>0.616609828009828</v>
      </c>
      <c r="J50" s="37">
        <f t="shared" si="9"/>
        <v>0.23244889599903826</v>
      </c>
      <c r="K50" s="37">
        <f t="shared" si="10"/>
        <v>0.16881078979590658</v>
      </c>
    </row>
    <row r="51" spans="1:11" ht="18" customHeight="1" x14ac:dyDescent="0.35">
      <c r="A51" s="262"/>
      <c r="B51" s="266" t="s">
        <v>328</v>
      </c>
      <c r="C51" s="267"/>
      <c r="D51" s="117">
        <f>+D35+D50</f>
        <v>56956051</v>
      </c>
      <c r="E51" s="117">
        <f>+E35+E50</f>
        <v>48154351.5</v>
      </c>
      <c r="F51" s="111">
        <f>+(E51-D51)/D51</f>
        <v>-0.15453493255703418</v>
      </c>
      <c r="G51" s="33">
        <f t="shared" si="6"/>
        <v>0.11831535995085996</v>
      </c>
      <c r="H51" s="33">
        <f t="shared" si="7"/>
        <v>0.11831535995085996</v>
      </c>
      <c r="I51" s="38">
        <f t="shared" si="8"/>
        <v>0.94652287960687964</v>
      </c>
      <c r="J51" s="38">
        <f t="shared" si="9"/>
        <v>0.35681915598488151</v>
      </c>
      <c r="K51" s="38">
        <f t="shared" si="10"/>
        <v>0.2591318976897436</v>
      </c>
    </row>
    <row r="52" spans="1:11" outlineLevel="1" x14ac:dyDescent="0.3">
      <c r="A52" s="262"/>
      <c r="B52" s="261" t="s">
        <v>329</v>
      </c>
      <c r="C52" s="13" t="s">
        <v>330</v>
      </c>
      <c r="D52" s="114">
        <v>968000</v>
      </c>
      <c r="E52" s="114">
        <v>5295500</v>
      </c>
      <c r="F52" s="109">
        <f t="shared" ref="F52:F83" si="11">IFERROR(+(E52-D52)/D52,"N/A")</f>
        <v>4.4705578512396693</v>
      </c>
      <c r="G52" s="30">
        <f t="shared" si="6"/>
        <v>1.3011056511056511E-2</v>
      </c>
      <c r="H52" s="30">
        <f t="shared" si="7"/>
        <v>1.3011056511056511E-2</v>
      </c>
      <c r="I52" s="36">
        <f t="shared" si="8"/>
        <v>0.10408845208845209</v>
      </c>
      <c r="J52" s="36">
        <f t="shared" si="9"/>
        <v>3.9239150391589012E-2</v>
      </c>
      <c r="K52" s="36">
        <f t="shared" si="10"/>
        <v>2.8496551640115789E-2</v>
      </c>
    </row>
    <row r="53" spans="1:11" outlineLevel="1" x14ac:dyDescent="0.3">
      <c r="A53" s="262"/>
      <c r="B53" s="262"/>
      <c r="C53" s="15" t="s">
        <v>331</v>
      </c>
      <c r="D53" s="114">
        <v>29045648</v>
      </c>
      <c r="E53" s="114">
        <v>14822564</v>
      </c>
      <c r="F53" s="109">
        <f t="shared" si="11"/>
        <v>-0.48968038172190204</v>
      </c>
      <c r="G53" s="30">
        <f t="shared" si="6"/>
        <v>3.6419076167076167E-2</v>
      </c>
      <c r="H53" s="30">
        <f t="shared" si="7"/>
        <v>3.6419076167076167E-2</v>
      </c>
      <c r="I53" s="36">
        <f t="shared" si="8"/>
        <v>0.29135260933660934</v>
      </c>
      <c r="J53" s="36">
        <f t="shared" si="9"/>
        <v>0.10983378679727186</v>
      </c>
      <c r="K53" s="36">
        <f t="shared" si="10"/>
        <v>7.9764320737403693E-2</v>
      </c>
    </row>
    <row r="54" spans="1:11" ht="17.399999999999999" customHeight="1" x14ac:dyDescent="0.3">
      <c r="A54" s="256"/>
      <c r="B54" s="256"/>
      <c r="C54" s="19" t="s">
        <v>332</v>
      </c>
      <c r="D54" s="118">
        <f>SUM(D52:D53)</f>
        <v>30013648</v>
      </c>
      <c r="E54" s="113">
        <f>SUM(E52:E53)</f>
        <v>20118064</v>
      </c>
      <c r="F54" s="110">
        <f t="shared" si="11"/>
        <v>-0.32970280720290984</v>
      </c>
      <c r="G54" s="31">
        <f t="shared" si="6"/>
        <v>4.9430132678132677E-2</v>
      </c>
      <c r="H54" s="31">
        <f t="shared" si="7"/>
        <v>4.9430132678132677E-2</v>
      </c>
      <c r="I54" s="37">
        <f t="shared" si="8"/>
        <v>0.39544106142506141</v>
      </c>
      <c r="J54" s="37">
        <f t="shared" si="9"/>
        <v>0.14907293718886089</v>
      </c>
      <c r="K54" s="37">
        <f t="shared" si="10"/>
        <v>0.10826087237751947</v>
      </c>
    </row>
    <row r="55" spans="1:11" ht="14.4" customHeight="1" outlineLevel="1" x14ac:dyDescent="0.3">
      <c r="A55" s="264" t="s">
        <v>333</v>
      </c>
      <c r="B55" s="261" t="s">
        <v>334</v>
      </c>
      <c r="C55" s="18" t="s">
        <v>131</v>
      </c>
      <c r="D55" s="114">
        <f>+VLOOKUP(C55,Hoja2!$A$3:$F$20,6,FALSE)</f>
        <v>3320392</v>
      </c>
      <c r="E55" s="115">
        <v>3320392</v>
      </c>
      <c r="F55" s="109">
        <f t="shared" si="11"/>
        <v>0</v>
      </c>
      <c r="G55" s="30">
        <f t="shared" si="6"/>
        <v>8.1582113022113014E-3</v>
      </c>
      <c r="H55" s="30">
        <f t="shared" si="7"/>
        <v>8.1582113022113014E-3</v>
      </c>
      <c r="I55" s="36">
        <f t="shared" si="8"/>
        <v>6.5265690417690411E-2</v>
      </c>
      <c r="J55" s="36">
        <f t="shared" si="9"/>
        <v>2.4603788319710891E-2</v>
      </c>
      <c r="K55" s="36">
        <f t="shared" si="10"/>
        <v>1.7867948653276809E-2</v>
      </c>
    </row>
    <row r="56" spans="1:11" outlineLevel="1" x14ac:dyDescent="0.3">
      <c r="A56" s="262"/>
      <c r="B56" s="262"/>
      <c r="C56" s="18" t="s">
        <v>132</v>
      </c>
      <c r="D56" s="114">
        <f>+VLOOKUP(C56,Hoja2!$A$3:$F$20,6,FALSE)</f>
        <v>264636</v>
      </c>
      <c r="E56" s="115">
        <v>264636</v>
      </c>
      <c r="F56" s="109">
        <f t="shared" si="11"/>
        <v>0</v>
      </c>
      <c r="G56" s="30">
        <f t="shared" si="6"/>
        <v>6.5021130221130225E-4</v>
      </c>
      <c r="H56" s="30">
        <f t="shared" si="7"/>
        <v>6.5021130221130225E-4</v>
      </c>
      <c r="I56" s="36">
        <f t="shared" si="8"/>
        <v>5.201690417690418E-3</v>
      </c>
      <c r="J56" s="36">
        <f t="shared" si="9"/>
        <v>1.9609275428247664E-3</v>
      </c>
      <c r="K56" s="36">
        <f t="shared" si="10"/>
        <v>1.4240795845215147E-3</v>
      </c>
    </row>
    <row r="57" spans="1:11" outlineLevel="1" x14ac:dyDescent="0.3">
      <c r="A57" s="262"/>
      <c r="B57" s="262"/>
      <c r="C57" s="18" t="s">
        <v>137</v>
      </c>
      <c r="D57" s="114">
        <f>+VLOOKUP(C57,Hoja2!$A$3:$F$20,6,FALSE)</f>
        <v>450000</v>
      </c>
      <c r="E57" s="115">
        <v>450000</v>
      </c>
      <c r="F57" s="109">
        <f t="shared" si="11"/>
        <v>0</v>
      </c>
      <c r="G57" s="30">
        <f t="shared" si="6"/>
        <v>1.1056511056511057E-3</v>
      </c>
      <c r="H57" s="30">
        <f t="shared" si="7"/>
        <v>1.1056511056511057E-3</v>
      </c>
      <c r="I57" s="36">
        <f t="shared" si="8"/>
        <v>8.8452088452088459E-3</v>
      </c>
      <c r="J57" s="36">
        <f t="shared" si="9"/>
        <v>3.3344571194816458E-3</v>
      </c>
      <c r="K57" s="36">
        <f t="shared" si="10"/>
        <v>2.421574589378171E-3</v>
      </c>
    </row>
    <row r="58" spans="1:11" outlineLevel="1" x14ac:dyDescent="0.3">
      <c r="A58" s="262"/>
      <c r="B58" s="262"/>
      <c r="C58" s="18" t="s">
        <v>138</v>
      </c>
      <c r="D58" s="114">
        <f>+VLOOKUP(C58,Hoja2!$A$3:$F$20,6,FALSE)</f>
        <v>130765</v>
      </c>
      <c r="E58" s="115">
        <v>168335</v>
      </c>
      <c r="F58" s="109">
        <f t="shared" si="11"/>
        <v>0.28730929530073029</v>
      </c>
      <c r="G58" s="30">
        <f t="shared" si="6"/>
        <v>4.135995085995086E-4</v>
      </c>
      <c r="H58" s="30">
        <f t="shared" si="7"/>
        <v>4.135995085995086E-4</v>
      </c>
      <c r="I58" s="36">
        <f t="shared" si="8"/>
        <v>3.3087960687960688E-3</v>
      </c>
      <c r="J58" s="36">
        <f t="shared" si="9"/>
        <v>1.2473463093509842E-3</v>
      </c>
      <c r="K58" s="36">
        <f t="shared" si="10"/>
        <v>9.0585724111772088E-4</v>
      </c>
    </row>
    <row r="59" spans="1:11" outlineLevel="1" x14ac:dyDescent="0.3">
      <c r="A59" s="262"/>
      <c r="B59" s="262"/>
      <c r="C59" s="18" t="s">
        <v>139</v>
      </c>
      <c r="D59" s="114">
        <f>+VLOOKUP(C59,Hoja2!$A$3:$F$20,6,FALSE)</f>
        <v>298753</v>
      </c>
      <c r="E59" s="115">
        <v>298750</v>
      </c>
      <c r="F59" s="109">
        <f t="shared" si="11"/>
        <v>-1.0041740166625941E-5</v>
      </c>
      <c r="G59" s="30">
        <f t="shared" si="6"/>
        <v>7.34029484029484E-4</v>
      </c>
      <c r="H59" s="30">
        <f t="shared" si="7"/>
        <v>7.34029484029484E-4</v>
      </c>
      <c r="I59" s="36">
        <f t="shared" si="8"/>
        <v>5.872235872235872E-3</v>
      </c>
      <c r="J59" s="36">
        <f t="shared" si="9"/>
        <v>2.2137090321003149E-3</v>
      </c>
      <c r="K59" s="36">
        <f t="shared" si="10"/>
        <v>1.6076564635038413E-3</v>
      </c>
    </row>
    <row r="60" spans="1:11" outlineLevel="1" x14ac:dyDescent="0.3">
      <c r="A60" s="262"/>
      <c r="B60" s="262"/>
      <c r="C60" s="18" t="s">
        <v>140</v>
      </c>
      <c r="D60" s="114">
        <f>+VLOOKUP(C60,Hoja2!$A$3:$F$20,6,FALSE)</f>
        <v>298753</v>
      </c>
      <c r="E60" s="115">
        <v>298750</v>
      </c>
      <c r="F60" s="109">
        <f t="shared" si="11"/>
        <v>-1.0041740166625941E-5</v>
      </c>
      <c r="G60" s="30">
        <f t="shared" si="6"/>
        <v>7.34029484029484E-4</v>
      </c>
      <c r="H60" s="30">
        <f t="shared" si="7"/>
        <v>7.34029484029484E-4</v>
      </c>
      <c r="I60" s="36">
        <f t="shared" si="8"/>
        <v>5.872235872235872E-3</v>
      </c>
      <c r="J60" s="36">
        <f t="shared" si="9"/>
        <v>2.2137090321003149E-3</v>
      </c>
      <c r="K60" s="36">
        <f t="shared" si="10"/>
        <v>1.6076564635038413E-3</v>
      </c>
    </row>
    <row r="61" spans="1:11" outlineLevel="1" x14ac:dyDescent="0.3">
      <c r="A61" s="262"/>
      <c r="B61" s="262"/>
      <c r="C61" s="18" t="s">
        <v>141</v>
      </c>
      <c r="D61" s="114">
        <f>+VLOOKUP(C61,Hoja2!$A$3:$F$20,6,FALSE)</f>
        <v>35853</v>
      </c>
      <c r="E61" s="115">
        <v>14899</v>
      </c>
      <c r="F61" s="109">
        <f t="shared" si="11"/>
        <v>-0.58444202716648541</v>
      </c>
      <c r="G61" s="30">
        <f t="shared" si="6"/>
        <v>3.6606879606879604E-5</v>
      </c>
      <c r="H61" s="30">
        <f t="shared" si="7"/>
        <v>3.6606879606879604E-5</v>
      </c>
      <c r="I61" s="36">
        <f t="shared" si="8"/>
        <v>2.9285503685503683E-4</v>
      </c>
      <c r="J61" s="36">
        <f t="shared" si="9"/>
        <v>1.1040017027368231E-4</v>
      </c>
      <c r="K61" s="36">
        <f t="shared" si="10"/>
        <v>8.0175644015878601E-5</v>
      </c>
    </row>
    <row r="62" spans="1:11" outlineLevel="1" x14ac:dyDescent="0.3">
      <c r="A62" s="262"/>
      <c r="B62" s="262"/>
      <c r="C62" s="18" t="s">
        <v>142</v>
      </c>
      <c r="D62" s="114">
        <f>+VLOOKUP(C62,Hoja2!$A$3:$F$20,6,FALSE)</f>
        <v>99800</v>
      </c>
      <c r="E62" s="115">
        <v>49900</v>
      </c>
      <c r="F62" s="109">
        <f t="shared" si="11"/>
        <v>-0.5</v>
      </c>
      <c r="G62" s="30">
        <f t="shared" si="6"/>
        <v>1.226044226044226E-4</v>
      </c>
      <c r="H62" s="30">
        <f t="shared" si="7"/>
        <v>1.226044226044226E-4</v>
      </c>
      <c r="I62" s="36">
        <f t="shared" si="8"/>
        <v>9.8083538083538081E-4</v>
      </c>
      <c r="J62" s="36">
        <f t="shared" si="9"/>
        <v>3.6975424502696473E-4</v>
      </c>
      <c r="K62" s="36">
        <f t="shared" si="10"/>
        <v>2.6852571557771273E-4</v>
      </c>
    </row>
    <row r="63" spans="1:11" outlineLevel="1" x14ac:dyDescent="0.3">
      <c r="A63" s="262"/>
      <c r="B63" s="262"/>
      <c r="C63" s="18" t="s">
        <v>143</v>
      </c>
      <c r="D63" s="114">
        <f>+VLOOKUP(C63,Hoja2!$A$3:$F$20,6,FALSE)</f>
        <v>66600</v>
      </c>
      <c r="E63" s="115">
        <v>33400</v>
      </c>
      <c r="F63" s="109">
        <f t="shared" si="11"/>
        <v>-0.49849849849849848</v>
      </c>
      <c r="G63" s="30">
        <f t="shared" si="6"/>
        <v>8.2063882063882062E-5</v>
      </c>
      <c r="H63" s="30">
        <f t="shared" si="7"/>
        <v>8.2063882063882062E-5</v>
      </c>
      <c r="I63" s="36">
        <f t="shared" si="8"/>
        <v>6.565110565110565E-4</v>
      </c>
      <c r="J63" s="36">
        <f t="shared" si="9"/>
        <v>2.4749081731263771E-4</v>
      </c>
      <c r="K63" s="36">
        <f t="shared" si="10"/>
        <v>1.7973464730051313E-4</v>
      </c>
    </row>
    <row r="64" spans="1:11" outlineLevel="1" x14ac:dyDescent="0.3">
      <c r="A64" s="262"/>
      <c r="B64" s="262"/>
      <c r="C64" s="18" t="s">
        <v>144</v>
      </c>
      <c r="D64" s="114">
        <f>+VLOOKUP(C64,Hoja2!$A$3:$F$20,6,FALSE)</f>
        <v>17500</v>
      </c>
      <c r="E64" s="115">
        <v>8800</v>
      </c>
      <c r="F64" s="109">
        <f t="shared" si="11"/>
        <v>-0.49714285714285716</v>
      </c>
      <c r="G64" s="30">
        <f t="shared" si="6"/>
        <v>2.1621621621621621E-5</v>
      </c>
      <c r="H64" s="30">
        <f t="shared" si="7"/>
        <v>2.1621621621621621E-5</v>
      </c>
      <c r="I64" s="36">
        <f t="shared" si="8"/>
        <v>1.7297297297297297E-4</v>
      </c>
      <c r="J64" s="36">
        <f t="shared" si="9"/>
        <v>6.5207161447641078E-5</v>
      </c>
      <c r="K64" s="36">
        <f t="shared" si="10"/>
        <v>4.7355236414506457E-5</v>
      </c>
    </row>
    <row r="65" spans="1:11" outlineLevel="1" x14ac:dyDescent="0.3">
      <c r="A65" s="262"/>
      <c r="B65" s="262"/>
      <c r="C65" s="18" t="s">
        <v>145</v>
      </c>
      <c r="D65" s="114">
        <f>+VLOOKUP(C65,Hoja2!$A$3:$F$20,6,FALSE)</f>
        <v>281900</v>
      </c>
      <c r="E65" s="115">
        <v>141000</v>
      </c>
      <c r="F65" s="109">
        <f t="shared" si="11"/>
        <v>-0.49982263213905642</v>
      </c>
      <c r="G65" s="30">
        <f t="shared" si="6"/>
        <v>3.4643734643734642E-4</v>
      </c>
      <c r="H65" s="30">
        <f t="shared" si="7"/>
        <v>3.4643734643734642E-4</v>
      </c>
      <c r="I65" s="36">
        <f t="shared" si="8"/>
        <v>2.7714987714987714E-3</v>
      </c>
      <c r="J65" s="36">
        <f t="shared" si="9"/>
        <v>1.044796564104249E-3</v>
      </c>
      <c r="K65" s="36">
        <f t="shared" si="10"/>
        <v>7.5876003800516025E-4</v>
      </c>
    </row>
    <row r="66" spans="1:11" outlineLevel="1" x14ac:dyDescent="0.3">
      <c r="A66" s="262"/>
      <c r="B66" s="262"/>
      <c r="C66" s="18" t="s">
        <v>146</v>
      </c>
      <c r="D66" s="114">
        <f>+VLOOKUP(C66,Hoja2!$A$3:$F$20,6,FALSE)</f>
        <v>398200</v>
      </c>
      <c r="E66" s="115">
        <v>199200</v>
      </c>
      <c r="F66" s="109">
        <f t="shared" si="11"/>
        <v>-0.49974886991461576</v>
      </c>
      <c r="G66" s="30">
        <f t="shared" si="6"/>
        <v>4.8943488943488942E-4</v>
      </c>
      <c r="H66" s="30">
        <f t="shared" si="7"/>
        <v>4.8943488943488942E-4</v>
      </c>
      <c r="I66" s="36">
        <f t="shared" si="8"/>
        <v>3.9154791154791153E-3</v>
      </c>
      <c r="J66" s="36">
        <f t="shared" si="9"/>
        <v>1.4760530182238753E-3</v>
      </c>
      <c r="K66" s="36">
        <f t="shared" si="10"/>
        <v>1.0719503515647371E-3</v>
      </c>
    </row>
    <row r="67" spans="1:11" outlineLevel="1" x14ac:dyDescent="0.3">
      <c r="A67" s="262"/>
      <c r="B67" s="262"/>
      <c r="C67" s="18" t="s">
        <v>147</v>
      </c>
      <c r="D67" s="114">
        <f>+VLOOKUP(C67,Hoja2!$A$3:$F$20,6,FALSE)</f>
        <v>133000</v>
      </c>
      <c r="E67" s="115">
        <v>66600</v>
      </c>
      <c r="F67" s="109">
        <f t="shared" si="11"/>
        <v>-0.49924812030075189</v>
      </c>
      <c r="G67" s="30">
        <f t="shared" si="6"/>
        <v>1.6363636363636363E-4</v>
      </c>
      <c r="H67" s="30">
        <f t="shared" si="7"/>
        <v>1.6363636363636363E-4</v>
      </c>
      <c r="I67" s="36">
        <f t="shared" si="8"/>
        <v>1.3090909090909091E-3</v>
      </c>
      <c r="J67" s="36">
        <f t="shared" si="9"/>
        <v>4.9349965368328361E-4</v>
      </c>
      <c r="K67" s="36">
        <f t="shared" si="10"/>
        <v>3.5839303922796932E-4</v>
      </c>
    </row>
    <row r="68" spans="1:11" x14ac:dyDescent="0.3">
      <c r="A68" s="262"/>
      <c r="B68" s="256"/>
      <c r="C68" s="23" t="s">
        <v>335</v>
      </c>
      <c r="D68" s="113">
        <f>SUM(D55:D67)</f>
        <v>5796152</v>
      </c>
      <c r="E68" s="113">
        <f>SUM(E55:E67)</f>
        <v>5314662</v>
      </c>
      <c r="F68" s="110">
        <f t="shared" si="11"/>
        <v>-8.3070630307831822E-2</v>
      </c>
      <c r="G68" s="31">
        <f t="shared" si="6"/>
        <v>1.3058137592137592E-2</v>
      </c>
      <c r="H68" s="31">
        <f t="shared" si="7"/>
        <v>1.3058137592137592E-2</v>
      </c>
      <c r="I68" s="37">
        <f t="shared" si="8"/>
        <v>0.10446510073710073</v>
      </c>
      <c r="J68" s="37">
        <f t="shared" si="9"/>
        <v>3.9381138985641252E-2</v>
      </c>
      <c r="K68" s="37">
        <f t="shared" si="10"/>
        <v>2.8599667667408374E-2</v>
      </c>
    </row>
    <row r="69" spans="1:11" outlineLevel="1" x14ac:dyDescent="0.3">
      <c r="A69" s="262"/>
      <c r="B69" s="261" t="s">
        <v>336</v>
      </c>
      <c r="C69" s="18" t="s">
        <v>161</v>
      </c>
      <c r="D69" s="114">
        <f>+VLOOKUP(C69,Hoja2!$A$24:$F$74,6,FALSE)</f>
        <v>0</v>
      </c>
      <c r="E69" s="115">
        <v>73400</v>
      </c>
      <c r="F69" s="109" t="str">
        <f t="shared" si="11"/>
        <v>N/A</v>
      </c>
      <c r="G69" s="30">
        <f t="shared" si="6"/>
        <v>1.8034398034398036E-4</v>
      </c>
      <c r="H69" s="30">
        <f t="shared" si="7"/>
        <v>1.8034398034398036E-4</v>
      </c>
      <c r="I69" s="36">
        <f t="shared" si="8"/>
        <v>1.4427518427518428E-3</v>
      </c>
      <c r="J69" s="36">
        <f t="shared" si="9"/>
        <v>5.4388700571100616E-4</v>
      </c>
      <c r="K69" s="36">
        <f t="shared" si="10"/>
        <v>3.9498572191190611E-4</v>
      </c>
    </row>
    <row r="70" spans="1:11" outlineLevel="1" x14ac:dyDescent="0.3">
      <c r="A70" s="262"/>
      <c r="B70" s="262"/>
      <c r="C70" s="22" t="s">
        <v>162</v>
      </c>
      <c r="D70" s="114">
        <f>+VLOOKUP(C70,Hoja2!$A$24:$F$74,6,FALSE)</f>
        <v>1000000</v>
      </c>
      <c r="E70" s="115">
        <v>0</v>
      </c>
      <c r="F70" s="109">
        <f t="shared" si="11"/>
        <v>-1</v>
      </c>
      <c r="G70" s="30">
        <f t="shared" si="6"/>
        <v>0</v>
      </c>
      <c r="H70" s="30">
        <f t="shared" si="7"/>
        <v>0</v>
      </c>
      <c r="I70" s="36">
        <f t="shared" si="8"/>
        <v>0</v>
      </c>
      <c r="J70" s="36">
        <f t="shared" si="9"/>
        <v>0</v>
      </c>
      <c r="K70" s="36">
        <f t="shared" si="10"/>
        <v>0</v>
      </c>
    </row>
    <row r="71" spans="1:11" outlineLevel="1" x14ac:dyDescent="0.3">
      <c r="A71" s="262"/>
      <c r="B71" s="262"/>
      <c r="C71" s="18" t="s">
        <v>165</v>
      </c>
      <c r="D71" s="114">
        <f>+VLOOKUP(C71,Hoja2!$A$24:$F$74,6,FALSE)</f>
        <v>0</v>
      </c>
      <c r="E71" s="115">
        <v>2300000</v>
      </c>
      <c r="F71" s="109" t="str">
        <f t="shared" si="11"/>
        <v>N/A</v>
      </c>
      <c r="G71" s="30">
        <f t="shared" si="6"/>
        <v>5.6511056511056512E-3</v>
      </c>
      <c r="H71" s="30">
        <f t="shared" si="7"/>
        <v>5.6511056511056512E-3</v>
      </c>
      <c r="I71" s="36">
        <f t="shared" si="8"/>
        <v>4.5208845208845209E-2</v>
      </c>
      <c r="J71" s="36">
        <f t="shared" si="9"/>
        <v>1.7042780832906189E-2</v>
      </c>
      <c r="K71" s="36">
        <f t="shared" si="10"/>
        <v>1.2376936790155096E-2</v>
      </c>
    </row>
    <row r="72" spans="1:11" outlineLevel="1" x14ac:dyDescent="0.3">
      <c r="A72" s="262"/>
      <c r="B72" s="262"/>
      <c r="C72" s="18" t="s">
        <v>172</v>
      </c>
      <c r="D72" s="114">
        <f>+VLOOKUP(C72,Hoja2!$A$24:$F$74,6,FALSE)</f>
        <v>0</v>
      </c>
      <c r="E72" s="115">
        <v>152655</v>
      </c>
      <c r="F72" s="109" t="str">
        <f t="shared" si="11"/>
        <v>N/A</v>
      </c>
      <c r="G72" s="30">
        <f t="shared" si="6"/>
        <v>3.7507371007371008E-4</v>
      </c>
      <c r="H72" s="30">
        <f t="shared" si="7"/>
        <v>3.7507371007371008E-4</v>
      </c>
      <c r="I72" s="36">
        <f t="shared" si="8"/>
        <v>3.0005896805896807E-3</v>
      </c>
      <c r="J72" s="36">
        <f t="shared" si="9"/>
        <v>1.1311590034988237E-3</v>
      </c>
      <c r="K72" s="36">
        <f t="shared" si="10"/>
        <v>8.2147881987005482E-4</v>
      </c>
    </row>
    <row r="73" spans="1:11" outlineLevel="1" x14ac:dyDescent="0.3">
      <c r="A73" s="262"/>
      <c r="B73" s="262"/>
      <c r="C73" s="18" t="s">
        <v>173</v>
      </c>
      <c r="D73" s="114">
        <f>+VLOOKUP(C73,Hoja2!$A$24:$F$74,6,FALSE)</f>
        <v>75000</v>
      </c>
      <c r="E73" s="115">
        <v>4350</v>
      </c>
      <c r="F73" s="109">
        <f t="shared" si="11"/>
        <v>-0.94199999999999995</v>
      </c>
      <c r="G73" s="30">
        <f t="shared" si="6"/>
        <v>1.0687960687960687E-5</v>
      </c>
      <c r="H73" s="30">
        <f t="shared" si="7"/>
        <v>1.0687960687960687E-5</v>
      </c>
      <c r="I73" s="36">
        <f t="shared" si="8"/>
        <v>8.5503685503685498E-5</v>
      </c>
      <c r="J73" s="36">
        <f t="shared" si="9"/>
        <v>3.2233085488322579E-5</v>
      </c>
      <c r="K73" s="36">
        <f t="shared" si="10"/>
        <v>2.3408554363988986E-5</v>
      </c>
    </row>
    <row r="74" spans="1:11" outlineLevel="1" x14ac:dyDescent="0.3">
      <c r="A74" s="262"/>
      <c r="B74" s="262"/>
      <c r="C74" s="18" t="s">
        <v>176</v>
      </c>
      <c r="D74" s="114">
        <f>+VLOOKUP(C74,Hoja2!$A$24:$F$74,6,FALSE)</f>
        <v>33000</v>
      </c>
      <c r="E74" s="115">
        <v>33000</v>
      </c>
      <c r="F74" s="109">
        <f t="shared" si="11"/>
        <v>0</v>
      </c>
      <c r="G74" s="30">
        <f t="shared" si="6"/>
        <v>8.1081081081081077E-5</v>
      </c>
      <c r="H74" s="30">
        <f t="shared" si="7"/>
        <v>8.1081081081081077E-5</v>
      </c>
      <c r="I74" s="36">
        <f t="shared" si="8"/>
        <v>6.4864864864864862E-4</v>
      </c>
      <c r="J74" s="36">
        <f t="shared" si="9"/>
        <v>2.4452685542865403E-4</v>
      </c>
      <c r="K74" s="36">
        <f t="shared" si="10"/>
        <v>1.7758213655439921E-4</v>
      </c>
    </row>
    <row r="75" spans="1:11" outlineLevel="1" x14ac:dyDescent="0.3">
      <c r="A75" s="262"/>
      <c r="B75" s="262"/>
      <c r="C75" s="18" t="s">
        <v>181</v>
      </c>
      <c r="D75" s="114">
        <f>+VLOOKUP(C75,Hoja2!$A$24:$F$74,6,FALSE)</f>
        <v>11840</v>
      </c>
      <c r="E75" s="115">
        <v>1123924</v>
      </c>
      <c r="F75" s="109">
        <f t="shared" si="11"/>
        <v>93.92601351351351</v>
      </c>
      <c r="G75" s="30">
        <f t="shared" si="6"/>
        <v>2.7614840294840296E-3</v>
      </c>
      <c r="H75" s="30">
        <f t="shared" si="7"/>
        <v>2.7614840294840296E-3</v>
      </c>
      <c r="I75" s="36">
        <f t="shared" si="8"/>
        <v>2.2091872235872237E-2</v>
      </c>
      <c r="J75" s="36">
        <f t="shared" si="9"/>
        <v>8.328169741236199E-3</v>
      </c>
      <c r="K75" s="36">
        <f t="shared" si="10"/>
        <v>6.0481462195383813E-3</v>
      </c>
    </row>
    <row r="76" spans="1:11" outlineLevel="1" x14ac:dyDescent="0.3">
      <c r="A76" s="262"/>
      <c r="B76" s="262"/>
      <c r="C76" s="18" t="s">
        <v>182</v>
      </c>
      <c r="D76" s="114">
        <f>+VLOOKUP(C76,Hoja2!$A$24:$F$74,6,FALSE)</f>
        <v>45.69</v>
      </c>
      <c r="E76" s="115">
        <v>8</v>
      </c>
      <c r="F76" s="109">
        <f t="shared" si="11"/>
        <v>-0.82490698183409938</v>
      </c>
      <c r="G76" s="30">
        <f t="shared" si="6"/>
        <v>1.9656019656019656E-8</v>
      </c>
      <c r="H76" s="30">
        <f t="shared" si="7"/>
        <v>1.9656019656019656E-8</v>
      </c>
      <c r="I76" s="36">
        <f t="shared" si="8"/>
        <v>1.5724815724815725E-7</v>
      </c>
      <c r="J76" s="36">
        <f t="shared" si="9"/>
        <v>5.92792376796737E-8</v>
      </c>
      <c r="K76" s="36">
        <f t="shared" si="10"/>
        <v>4.3050214922278597E-8</v>
      </c>
    </row>
    <row r="77" spans="1:11" outlineLevel="1" x14ac:dyDescent="0.3">
      <c r="A77" s="262"/>
      <c r="B77" s="262"/>
      <c r="C77" s="18" t="s">
        <v>183</v>
      </c>
      <c r="D77" s="114">
        <f>+VLOOKUP(C77,Hoja2!$A$24:$F$74,6,FALSE)</f>
        <v>263898.58</v>
      </c>
      <c r="E77" s="115">
        <v>547126</v>
      </c>
      <c r="F77" s="109">
        <f t="shared" si="11"/>
        <v>1.073243440718779</v>
      </c>
      <c r="G77" s="30">
        <f t="shared" si="6"/>
        <v>1.3442899262899263E-3</v>
      </c>
      <c r="H77" s="30">
        <f t="shared" si="7"/>
        <v>1.3442899262899263E-3</v>
      </c>
      <c r="I77" s="36">
        <f t="shared" si="8"/>
        <v>1.075431941031941E-2</v>
      </c>
      <c r="J77" s="36">
        <f t="shared" si="9"/>
        <v>4.0541515243411441E-3</v>
      </c>
      <c r="K77" s="36">
        <f t="shared" si="10"/>
        <v>2.9442364861958247E-3</v>
      </c>
    </row>
    <row r="78" spans="1:11" outlineLevel="1" x14ac:dyDescent="0.3">
      <c r="A78" s="262"/>
      <c r="B78" s="262"/>
      <c r="C78" s="18" t="s">
        <v>184</v>
      </c>
      <c r="D78" s="114">
        <f>+VLOOKUP(C78,Hoja2!$A$24:$F$74,6,FALSE)</f>
        <v>169150</v>
      </c>
      <c r="E78" s="115">
        <v>113992</v>
      </c>
      <c r="F78" s="109">
        <f t="shared" si="11"/>
        <v>-0.32608926987880582</v>
      </c>
      <c r="G78" s="30">
        <f t="shared" si="6"/>
        <v>2.8007862407862408E-4</v>
      </c>
      <c r="H78" s="30">
        <f t="shared" si="7"/>
        <v>2.8007862407862408E-4</v>
      </c>
      <c r="I78" s="36">
        <f t="shared" si="8"/>
        <v>2.2406289926289926E-3</v>
      </c>
      <c r="J78" s="36">
        <f t="shared" si="9"/>
        <v>8.4466985769767063E-4</v>
      </c>
      <c r="K78" s="36">
        <f t="shared" si="10"/>
        <v>6.1342251242754774E-4</v>
      </c>
    </row>
    <row r="79" spans="1:11" outlineLevel="1" x14ac:dyDescent="0.3">
      <c r="A79" s="262"/>
      <c r="B79" s="262"/>
      <c r="C79" s="18" t="s">
        <v>198</v>
      </c>
      <c r="D79" s="114">
        <f>+VLOOKUP(C79,Hoja2!$A$24:$F$74,6,FALSE)</f>
        <v>0</v>
      </c>
      <c r="E79" s="115">
        <v>325129</v>
      </c>
      <c r="F79" s="109" t="str">
        <f t="shared" si="11"/>
        <v>N/A</v>
      </c>
      <c r="G79" s="30">
        <f t="shared" si="6"/>
        <v>7.9884275184275181E-4</v>
      </c>
      <c r="H79" s="30">
        <f t="shared" si="7"/>
        <v>7.9884275184275181E-4</v>
      </c>
      <c r="I79" s="36">
        <f t="shared" si="8"/>
        <v>6.3907420147420145E-3</v>
      </c>
      <c r="J79" s="36">
        <f t="shared" si="9"/>
        <v>2.4091749084443289E-3</v>
      </c>
      <c r="K79" s="36">
        <f t="shared" si="10"/>
        <v>1.7496091659331896E-3</v>
      </c>
    </row>
    <row r="80" spans="1:11" outlineLevel="1" x14ac:dyDescent="0.3">
      <c r="A80" s="262"/>
      <c r="B80" s="262"/>
      <c r="C80" s="18" t="s">
        <v>394</v>
      </c>
      <c r="D80" s="114">
        <v>0</v>
      </c>
      <c r="E80" s="115">
        <v>10000</v>
      </c>
      <c r="F80" s="109" t="str">
        <f t="shared" si="11"/>
        <v>N/A</v>
      </c>
      <c r="G80" s="30">
        <f t="shared" si="6"/>
        <v>2.457002457002457E-5</v>
      </c>
      <c r="H80" s="30">
        <f t="shared" si="7"/>
        <v>2.457002457002457E-5</v>
      </c>
      <c r="I80" s="36">
        <f t="shared" si="8"/>
        <v>1.9656019656019656E-4</v>
      </c>
      <c r="J80" s="36">
        <f t="shared" si="9"/>
        <v>7.4099047099592127E-5</v>
      </c>
      <c r="K80" s="36">
        <f t="shared" si="10"/>
        <v>5.3812768652848245E-5</v>
      </c>
    </row>
    <row r="81" spans="1:11" outlineLevel="1" x14ac:dyDescent="0.3">
      <c r="A81" s="262"/>
      <c r="B81" s="262"/>
      <c r="C81" s="18" t="s">
        <v>201</v>
      </c>
      <c r="D81" s="114">
        <f>+VLOOKUP(C81,Hoja2!$A$24:$F$74,6,FALSE)</f>
        <v>0</v>
      </c>
      <c r="E81" s="115">
        <v>8535786</v>
      </c>
      <c r="F81" s="109" t="str">
        <f t="shared" si="11"/>
        <v>N/A</v>
      </c>
      <c r="G81" s="30">
        <f t="shared" ref="G81:G106" si="12">+E81/$E$5</f>
        <v>2.0972447174447174E-2</v>
      </c>
      <c r="H81" s="30">
        <f t="shared" ref="H81:H106" si="13">+E81/$E$6</f>
        <v>2.0972447174447174E-2</v>
      </c>
      <c r="I81" s="36">
        <f t="shared" ref="I81:I106" si="14">+E81/$D$13</f>
        <v>0.16777957739557739</v>
      </c>
      <c r="J81" s="36">
        <f t="shared" ref="J81:J106" si="15">+E81/$D$14</f>
        <v>6.3249360884603908E-2</v>
      </c>
      <c r="K81" s="36">
        <f t="shared" ref="K81:K106" si="16">+E81/$D$15</f>
        <v>4.5933427728822092E-2</v>
      </c>
    </row>
    <row r="82" spans="1:11" outlineLevel="1" x14ac:dyDescent="0.3">
      <c r="A82" s="262"/>
      <c r="B82" s="262"/>
      <c r="C82" s="18" t="s">
        <v>200</v>
      </c>
      <c r="D82" s="114">
        <f>+VLOOKUP(C82,Hoja2!$A$24:$F$74,6,FALSE)</f>
        <v>0</v>
      </c>
      <c r="E82" s="115">
        <v>103491</v>
      </c>
      <c r="F82" s="109" t="str">
        <f t="shared" si="11"/>
        <v>N/A</v>
      </c>
      <c r="G82" s="30">
        <f t="shared" si="12"/>
        <v>2.5427764127764125E-4</v>
      </c>
      <c r="H82" s="30">
        <f t="shared" si="13"/>
        <v>2.5427764127764125E-4</v>
      </c>
      <c r="I82" s="36">
        <f t="shared" si="14"/>
        <v>2.03422113022113E-3</v>
      </c>
      <c r="J82" s="36">
        <f t="shared" si="15"/>
        <v>7.6685844833838891E-4</v>
      </c>
      <c r="K82" s="36">
        <f t="shared" si="16"/>
        <v>5.5691372406519173E-4</v>
      </c>
    </row>
    <row r="83" spans="1:11" x14ac:dyDescent="0.3">
      <c r="A83" s="262"/>
      <c r="B83" s="256"/>
      <c r="C83" s="23" t="s">
        <v>339</v>
      </c>
      <c r="D83" s="113">
        <f>SUM(D69:D82)</f>
        <v>1552934.27</v>
      </c>
      <c r="E83" s="113">
        <f>SUM(E69:E82)</f>
        <v>13322861</v>
      </c>
      <c r="F83" s="110">
        <f t="shared" si="11"/>
        <v>7.5791531923627398</v>
      </c>
      <c r="G83" s="31">
        <f t="shared" si="12"/>
        <v>3.2734302211302212E-2</v>
      </c>
      <c r="H83" s="31">
        <f t="shared" si="13"/>
        <v>3.2734302211302212E-2</v>
      </c>
      <c r="I83" s="37">
        <f t="shared" si="14"/>
        <v>0.26187441769041769</v>
      </c>
      <c r="J83" s="37">
        <f t="shared" si="15"/>
        <v>9.8721130474031901E-2</v>
      </c>
      <c r="K83" s="37">
        <f t="shared" si="16"/>
        <v>7.1694003678705445E-2</v>
      </c>
    </row>
    <row r="84" spans="1:11" ht="18" customHeight="1" x14ac:dyDescent="0.35">
      <c r="A84" s="256"/>
      <c r="B84" s="266" t="s">
        <v>340</v>
      </c>
      <c r="C84" s="267"/>
      <c r="D84" s="117">
        <f>+D83+D68</f>
        <v>7349086.2699999996</v>
      </c>
      <c r="E84" s="117">
        <f>+E83+E68</f>
        <v>18637523</v>
      </c>
      <c r="F84" s="111">
        <f t="shared" ref="F84:F106" si="17">IFERROR(+(E84-D84)/D84,"N/A")</f>
        <v>1.536032686958783</v>
      </c>
      <c r="G84" s="33">
        <f t="shared" si="12"/>
        <v>4.5792439803439805E-2</v>
      </c>
      <c r="H84" s="33">
        <f t="shared" si="13"/>
        <v>4.5792439803439805E-2</v>
      </c>
      <c r="I84" s="38">
        <f t="shared" si="14"/>
        <v>0.36633951842751844</v>
      </c>
      <c r="J84" s="38">
        <f t="shared" si="15"/>
        <v>0.13810226945967316</v>
      </c>
      <c r="K84" s="38">
        <f t="shared" si="16"/>
        <v>0.10029367134611382</v>
      </c>
    </row>
    <row r="85" spans="1:11" ht="14.4" customHeight="1" outlineLevel="1" x14ac:dyDescent="0.3">
      <c r="A85" s="264" t="s">
        <v>27</v>
      </c>
      <c r="B85" s="261" t="s">
        <v>341</v>
      </c>
      <c r="C85" s="24" t="s">
        <v>342</v>
      </c>
      <c r="D85" s="54">
        <v>0</v>
      </c>
      <c r="E85" s="54">
        <v>1248704</v>
      </c>
      <c r="F85" s="109" t="str">
        <f t="shared" si="17"/>
        <v>N/A</v>
      </c>
      <c r="G85" s="30">
        <f t="shared" si="12"/>
        <v>3.0680687960687961E-3</v>
      </c>
      <c r="H85" s="30">
        <f t="shared" si="13"/>
        <v>3.0680687960687961E-3</v>
      </c>
      <c r="I85" s="36">
        <f t="shared" si="14"/>
        <v>2.4544550368550369E-2</v>
      </c>
      <c r="J85" s="36">
        <f t="shared" si="15"/>
        <v>9.2527776509449093E-3</v>
      </c>
      <c r="K85" s="36">
        <f t="shared" si="16"/>
        <v>6.7196219467886217E-3</v>
      </c>
    </row>
    <row r="86" spans="1:11" outlineLevel="1" x14ac:dyDescent="0.3">
      <c r="A86" s="262"/>
      <c r="B86" s="262"/>
      <c r="C86" s="24" t="s">
        <v>343</v>
      </c>
      <c r="D86" s="54">
        <v>0</v>
      </c>
      <c r="E86" s="54">
        <v>99238.5</v>
      </c>
      <c r="F86" s="109" t="str">
        <f t="shared" si="17"/>
        <v>N/A</v>
      </c>
      <c r="G86" s="30">
        <f t="shared" si="12"/>
        <v>2.4382923832923833E-4</v>
      </c>
      <c r="H86" s="30">
        <f t="shared" si="13"/>
        <v>2.4382923832923833E-4</v>
      </c>
      <c r="I86" s="36">
        <f t="shared" si="14"/>
        <v>1.9506339066339066E-3</v>
      </c>
      <c r="J86" s="36">
        <f t="shared" si="15"/>
        <v>7.3534782855928739E-4</v>
      </c>
      <c r="K86" s="36">
        <f t="shared" si="16"/>
        <v>5.3402984419556804E-4</v>
      </c>
    </row>
    <row r="87" spans="1:11" outlineLevel="1" x14ac:dyDescent="0.3">
      <c r="A87" s="262"/>
      <c r="B87" s="262"/>
      <c r="C87" s="24" t="s">
        <v>344</v>
      </c>
      <c r="D87" s="54">
        <v>0</v>
      </c>
      <c r="E87" s="54">
        <v>230557.75</v>
      </c>
      <c r="F87" s="109" t="str">
        <f t="shared" si="17"/>
        <v>N/A</v>
      </c>
      <c r="G87" s="30">
        <f t="shared" si="12"/>
        <v>5.6648095823095819E-4</v>
      </c>
      <c r="H87" s="30">
        <f t="shared" si="13"/>
        <v>5.6648095823095819E-4</v>
      </c>
      <c r="I87" s="36">
        <f t="shared" si="14"/>
        <v>4.5318476658476655E-3</v>
      </c>
      <c r="J87" s="36">
        <f t="shared" si="15"/>
        <v>1.7084109576425987E-3</v>
      </c>
      <c r="K87" s="36">
        <f t="shared" si="16"/>
        <v>1.2406950861871223E-3</v>
      </c>
    </row>
    <row r="88" spans="1:11" outlineLevel="1" x14ac:dyDescent="0.3">
      <c r="A88" s="262"/>
      <c r="B88" s="262"/>
      <c r="C88" s="24" t="s">
        <v>345</v>
      </c>
      <c r="D88" s="54">
        <v>0</v>
      </c>
      <c r="E88" s="54">
        <v>130825</v>
      </c>
      <c r="F88" s="109" t="str">
        <f t="shared" si="17"/>
        <v>N/A</v>
      </c>
      <c r="G88" s="30">
        <f t="shared" si="12"/>
        <v>3.2143734643734641E-4</v>
      </c>
      <c r="H88" s="30">
        <f t="shared" si="13"/>
        <v>3.2143734643734641E-4</v>
      </c>
      <c r="I88" s="36">
        <f t="shared" si="14"/>
        <v>2.5714987714987713E-3</v>
      </c>
      <c r="J88" s="36">
        <f t="shared" si="15"/>
        <v>9.69400783680414E-4</v>
      </c>
      <c r="K88" s="36">
        <f t="shared" si="16"/>
        <v>7.0400554590088716E-4</v>
      </c>
    </row>
    <row r="89" spans="1:11" outlineLevel="1" x14ac:dyDescent="0.3">
      <c r="A89" s="262"/>
      <c r="B89" s="262"/>
      <c r="C89" s="24" t="s">
        <v>346</v>
      </c>
      <c r="D89" s="54">
        <v>0</v>
      </c>
      <c r="E89" s="54">
        <v>130825</v>
      </c>
      <c r="F89" s="109" t="str">
        <f t="shared" si="17"/>
        <v>N/A</v>
      </c>
      <c r="G89" s="30">
        <f t="shared" si="12"/>
        <v>3.2143734643734641E-4</v>
      </c>
      <c r="H89" s="30">
        <f t="shared" si="13"/>
        <v>3.2143734643734641E-4</v>
      </c>
      <c r="I89" s="36">
        <f t="shared" si="14"/>
        <v>2.5714987714987713E-3</v>
      </c>
      <c r="J89" s="36">
        <f t="shared" si="15"/>
        <v>9.69400783680414E-4</v>
      </c>
      <c r="K89" s="36">
        <f t="shared" si="16"/>
        <v>7.0400554590088716E-4</v>
      </c>
    </row>
    <row r="90" spans="1:11" outlineLevel="1" x14ac:dyDescent="0.3">
      <c r="A90" s="262"/>
      <c r="B90" s="262"/>
      <c r="C90" s="24" t="s">
        <v>347</v>
      </c>
      <c r="D90" s="54">
        <v>0</v>
      </c>
      <c r="E90" s="54">
        <v>11394.75</v>
      </c>
      <c r="F90" s="109" t="str">
        <f t="shared" si="17"/>
        <v>N/A</v>
      </c>
      <c r="G90" s="30">
        <f t="shared" si="12"/>
        <v>2.7996928746928747E-5</v>
      </c>
      <c r="H90" s="30">
        <f t="shared" si="13"/>
        <v>2.7996928746928747E-5</v>
      </c>
      <c r="I90" s="36">
        <f t="shared" si="14"/>
        <v>2.2397542997542997E-4</v>
      </c>
      <c r="J90" s="36">
        <f t="shared" si="15"/>
        <v>8.4434011693807745E-5</v>
      </c>
      <c r="K90" s="36">
        <f t="shared" si="16"/>
        <v>6.131830456070425E-5</v>
      </c>
    </row>
    <row r="91" spans="1:11" outlineLevel="1" x14ac:dyDescent="0.3">
      <c r="A91" s="262"/>
      <c r="B91" s="262"/>
      <c r="C91" s="24" t="s">
        <v>348</v>
      </c>
      <c r="D91" s="54">
        <v>0</v>
      </c>
      <c r="E91" s="54">
        <v>44150</v>
      </c>
      <c r="F91" s="109" t="str">
        <f t="shared" si="17"/>
        <v>N/A</v>
      </c>
      <c r="G91" s="30">
        <f t="shared" si="12"/>
        <v>1.0847665847665848E-4</v>
      </c>
      <c r="H91" s="30">
        <f t="shared" si="13"/>
        <v>1.0847665847665848E-4</v>
      </c>
      <c r="I91" s="36">
        <f t="shared" si="14"/>
        <v>8.6781326781326781E-4</v>
      </c>
      <c r="J91" s="36">
        <f t="shared" si="15"/>
        <v>3.2714729294469922E-4</v>
      </c>
      <c r="K91" s="36">
        <f t="shared" si="16"/>
        <v>2.37583373602325E-4</v>
      </c>
    </row>
    <row r="92" spans="1:11" outlineLevel="1" x14ac:dyDescent="0.3">
      <c r="A92" s="262"/>
      <c r="B92" s="262"/>
      <c r="C92" s="24" t="s">
        <v>349</v>
      </c>
      <c r="D92" s="54">
        <v>0</v>
      </c>
      <c r="E92" s="54">
        <v>29475</v>
      </c>
      <c r="F92" s="109" t="str">
        <f t="shared" si="17"/>
        <v>N/A</v>
      </c>
      <c r="G92" s="30">
        <f t="shared" si="12"/>
        <v>7.242014742014742E-5</v>
      </c>
      <c r="H92" s="30">
        <f t="shared" si="13"/>
        <v>7.242014742014742E-5</v>
      </c>
      <c r="I92" s="36">
        <f t="shared" si="14"/>
        <v>5.7936117936117936E-4</v>
      </c>
      <c r="J92" s="36">
        <f t="shared" si="15"/>
        <v>2.184069413260478E-4</v>
      </c>
      <c r="K92" s="36">
        <f t="shared" si="16"/>
        <v>1.5861313560427021E-4</v>
      </c>
    </row>
    <row r="93" spans="1:11" outlineLevel="1" x14ac:dyDescent="0.3">
      <c r="A93" s="262"/>
      <c r="B93" s="262"/>
      <c r="C93" s="24" t="s">
        <v>350</v>
      </c>
      <c r="D93" s="54">
        <v>0</v>
      </c>
      <c r="E93" s="54">
        <v>7750</v>
      </c>
      <c r="F93" s="109" t="str">
        <f t="shared" si="17"/>
        <v>N/A</v>
      </c>
      <c r="G93" s="30">
        <f t="shared" si="12"/>
        <v>1.9041769041769041E-5</v>
      </c>
      <c r="H93" s="30">
        <f t="shared" si="13"/>
        <v>1.9041769041769041E-5</v>
      </c>
      <c r="I93" s="36">
        <f t="shared" si="14"/>
        <v>1.5233415233415233E-4</v>
      </c>
      <c r="J93" s="36">
        <f t="shared" si="15"/>
        <v>5.7426761502183897E-5</v>
      </c>
      <c r="K93" s="36">
        <f t="shared" si="16"/>
        <v>4.1704895705957388E-5</v>
      </c>
    </row>
    <row r="94" spans="1:11" outlineLevel="1" x14ac:dyDescent="0.3">
      <c r="A94" s="262"/>
      <c r="B94" s="262"/>
      <c r="C94" s="24" t="s">
        <v>351</v>
      </c>
      <c r="D94" s="54">
        <v>0</v>
      </c>
      <c r="E94" s="54">
        <v>124950</v>
      </c>
      <c r="F94" s="109" t="str">
        <f t="shared" si="17"/>
        <v>N/A</v>
      </c>
      <c r="G94" s="30">
        <f t="shared" si="12"/>
        <v>3.0700245700245699E-4</v>
      </c>
      <c r="H94" s="30">
        <f t="shared" si="13"/>
        <v>3.0700245700245699E-4</v>
      </c>
      <c r="I94" s="36">
        <f t="shared" si="14"/>
        <v>2.456019656019656E-3</v>
      </c>
      <c r="J94" s="36">
        <f t="shared" si="15"/>
        <v>9.2586759350940366E-4</v>
      </c>
      <c r="K94" s="36">
        <f t="shared" si="16"/>
        <v>6.7239054431733885E-4</v>
      </c>
    </row>
    <row r="95" spans="1:11" outlineLevel="1" x14ac:dyDescent="0.3">
      <c r="A95" s="262"/>
      <c r="B95" s="262"/>
      <c r="C95" s="24" t="s">
        <v>352</v>
      </c>
      <c r="D95" s="54">
        <v>0</v>
      </c>
      <c r="E95" s="54">
        <v>148025</v>
      </c>
      <c r="F95" s="109" t="str">
        <f t="shared" si="17"/>
        <v>N/A</v>
      </c>
      <c r="G95" s="30">
        <f t="shared" si="12"/>
        <v>3.6369778869778868E-4</v>
      </c>
      <c r="H95" s="30">
        <f t="shared" si="13"/>
        <v>3.6369778869778868E-4</v>
      </c>
      <c r="I95" s="36">
        <f t="shared" si="14"/>
        <v>2.9095823095823094E-3</v>
      </c>
      <c r="J95" s="36">
        <f t="shared" si="15"/>
        <v>1.0968511446917124E-3</v>
      </c>
      <c r="K95" s="36">
        <f t="shared" si="16"/>
        <v>7.9656350798378614E-4</v>
      </c>
    </row>
    <row r="96" spans="1:11" outlineLevel="1" x14ac:dyDescent="0.3">
      <c r="A96" s="262"/>
      <c r="B96" s="262"/>
      <c r="C96" s="24" t="s">
        <v>353</v>
      </c>
      <c r="D96" s="54">
        <v>0</v>
      </c>
      <c r="E96" s="54">
        <v>58875</v>
      </c>
      <c r="F96" s="109" t="str">
        <f t="shared" si="17"/>
        <v>N/A</v>
      </c>
      <c r="G96" s="30">
        <f t="shared" si="12"/>
        <v>1.4465601965601966E-4</v>
      </c>
      <c r="H96" s="30">
        <f t="shared" si="13"/>
        <v>1.4465601965601966E-4</v>
      </c>
      <c r="I96" s="36">
        <f t="shared" si="14"/>
        <v>1.1572481572481572E-3</v>
      </c>
      <c r="J96" s="36">
        <f t="shared" si="15"/>
        <v>4.3625813979884863E-4</v>
      </c>
      <c r="K96" s="36">
        <f t="shared" si="16"/>
        <v>3.1682267544364402E-4</v>
      </c>
    </row>
    <row r="97" spans="1:11" outlineLevel="1" x14ac:dyDescent="0.3">
      <c r="A97" s="262"/>
      <c r="B97" s="262"/>
      <c r="C97" s="24" t="s">
        <v>212</v>
      </c>
      <c r="D97" s="54">
        <v>0</v>
      </c>
      <c r="E97" s="54">
        <v>50000</v>
      </c>
      <c r="F97" s="109" t="str">
        <f t="shared" si="17"/>
        <v>N/A</v>
      </c>
      <c r="G97" s="30">
        <f t="shared" si="12"/>
        <v>1.2285012285012285E-4</v>
      </c>
      <c r="H97" s="30">
        <f t="shared" si="13"/>
        <v>1.2285012285012285E-4</v>
      </c>
      <c r="I97" s="36">
        <f t="shared" si="14"/>
        <v>9.8280098280098278E-4</v>
      </c>
      <c r="J97" s="36">
        <f t="shared" si="15"/>
        <v>3.7049523549796063E-4</v>
      </c>
      <c r="K97" s="36">
        <f t="shared" si="16"/>
        <v>2.690638432642412E-4</v>
      </c>
    </row>
    <row r="98" spans="1:11" x14ac:dyDescent="0.3">
      <c r="A98" s="262"/>
      <c r="B98" s="256"/>
      <c r="C98" s="26" t="s">
        <v>354</v>
      </c>
      <c r="D98" s="86">
        <f>SUM(D85:D97)</f>
        <v>0</v>
      </c>
      <c r="E98" s="86">
        <f>SUM(E85:E97)</f>
        <v>2314770</v>
      </c>
      <c r="F98" s="110" t="str">
        <f t="shared" si="17"/>
        <v>N/A</v>
      </c>
      <c r="G98" s="31">
        <f t="shared" si="12"/>
        <v>5.6873955773955771E-3</v>
      </c>
      <c r="H98" s="31">
        <f t="shared" si="13"/>
        <v>5.6873955773955771E-3</v>
      </c>
      <c r="I98" s="37">
        <f t="shared" si="14"/>
        <v>4.5499164619164617E-2</v>
      </c>
      <c r="J98" s="37">
        <f t="shared" si="15"/>
        <v>1.7152225125472285E-2</v>
      </c>
      <c r="K98" s="37">
        <f t="shared" si="16"/>
        <v>1.2456418249455353E-2</v>
      </c>
    </row>
    <row r="99" spans="1:11" ht="15" customHeight="1" outlineLevel="1" x14ac:dyDescent="0.3">
      <c r="A99" s="262"/>
      <c r="B99" s="265" t="s">
        <v>355</v>
      </c>
      <c r="C99" s="24" t="s">
        <v>356</v>
      </c>
      <c r="D99" s="87">
        <v>0</v>
      </c>
      <c r="E99" s="119">
        <v>709188</v>
      </c>
      <c r="F99" s="109" t="str">
        <f t="shared" si="17"/>
        <v>N/A</v>
      </c>
      <c r="G99" s="30">
        <f t="shared" si="12"/>
        <v>1.7424766584766586E-3</v>
      </c>
      <c r="H99" s="30">
        <f t="shared" si="13"/>
        <v>1.7424766584766586E-3</v>
      </c>
      <c r="I99" s="36">
        <f t="shared" si="14"/>
        <v>1.3939813267813269E-2</v>
      </c>
      <c r="J99" s="36">
        <f t="shared" si="15"/>
        <v>5.2550155014465545E-3</v>
      </c>
      <c r="K99" s="36">
        <f t="shared" si="16"/>
        <v>3.8163369775376138E-3</v>
      </c>
    </row>
    <row r="100" spans="1:11" ht="15" customHeight="1" outlineLevel="1" x14ac:dyDescent="0.3">
      <c r="A100" s="262"/>
      <c r="B100" s="262"/>
      <c r="C100" s="24" t="s">
        <v>357</v>
      </c>
      <c r="D100" s="87">
        <v>0</v>
      </c>
      <c r="E100" s="119">
        <v>437272</v>
      </c>
      <c r="F100" s="109" t="str">
        <f t="shared" si="17"/>
        <v>N/A</v>
      </c>
      <c r="G100" s="30">
        <f t="shared" si="12"/>
        <v>1.0743783783783783E-3</v>
      </c>
      <c r="H100" s="30">
        <f t="shared" si="13"/>
        <v>1.0743783783783783E-3</v>
      </c>
      <c r="I100" s="36">
        <f t="shared" si="14"/>
        <v>8.5950270270270263E-3</v>
      </c>
      <c r="J100" s="36">
        <f t="shared" si="15"/>
        <v>3.2401438523332847E-3</v>
      </c>
      <c r="K100" s="36">
        <f t="shared" si="16"/>
        <v>2.3530816974368257E-3</v>
      </c>
    </row>
    <row r="101" spans="1:11" x14ac:dyDescent="0.3">
      <c r="A101" s="262"/>
      <c r="B101" s="256"/>
      <c r="C101" s="26" t="s">
        <v>358</v>
      </c>
      <c r="D101" s="86">
        <f>SUM(D99:D100)</f>
        <v>0</v>
      </c>
      <c r="E101" s="120">
        <f>SUM(E99:E100)</f>
        <v>1146460</v>
      </c>
      <c r="F101" s="110" t="str">
        <f t="shared" si="17"/>
        <v>N/A</v>
      </c>
      <c r="G101" s="31">
        <f t="shared" si="12"/>
        <v>2.8168550368550369E-3</v>
      </c>
      <c r="H101" s="31">
        <f t="shared" si="13"/>
        <v>2.8168550368550369E-3</v>
      </c>
      <c r="I101" s="37">
        <f t="shared" si="14"/>
        <v>2.2534840294840295E-2</v>
      </c>
      <c r="J101" s="37">
        <f t="shared" si="15"/>
        <v>8.4951593537798391E-3</v>
      </c>
      <c r="K101" s="37">
        <f t="shared" si="16"/>
        <v>6.1694186749744395E-3</v>
      </c>
    </row>
    <row r="102" spans="1:11" ht="18" customHeight="1" x14ac:dyDescent="0.35">
      <c r="A102" s="256"/>
      <c r="B102" s="266" t="s">
        <v>359</v>
      </c>
      <c r="C102" s="267"/>
      <c r="D102" s="88">
        <f>+D101+D98</f>
        <v>0</v>
      </c>
      <c r="E102" s="117">
        <f>+E101+E98</f>
        <v>3461230</v>
      </c>
      <c r="F102" s="111" t="str">
        <f t="shared" si="17"/>
        <v>N/A</v>
      </c>
      <c r="G102" s="33">
        <f t="shared" si="12"/>
        <v>8.5042506142506136E-3</v>
      </c>
      <c r="H102" s="33">
        <f t="shared" si="13"/>
        <v>8.5042506142506136E-3</v>
      </c>
      <c r="I102" s="38">
        <f t="shared" si="14"/>
        <v>6.8034004914004909E-2</v>
      </c>
      <c r="J102" s="38">
        <f t="shared" si="15"/>
        <v>2.5647384479252126E-2</v>
      </c>
      <c r="K102" s="38">
        <f t="shared" si="16"/>
        <v>1.8625836924429793E-2</v>
      </c>
    </row>
    <row r="103" spans="1:11" ht="20.399999999999999" customHeight="1" outlineLevel="1" x14ac:dyDescent="0.3">
      <c r="A103" s="277" t="s">
        <v>68</v>
      </c>
      <c r="B103" s="270"/>
      <c r="C103" s="24" t="s">
        <v>387</v>
      </c>
      <c r="D103" s="54">
        <v>0</v>
      </c>
      <c r="E103" s="119">
        <v>6413084</v>
      </c>
      <c r="F103" s="109" t="str">
        <f t="shared" si="17"/>
        <v>N/A</v>
      </c>
      <c r="G103" s="30">
        <f t="shared" si="12"/>
        <v>1.5756963144963144E-2</v>
      </c>
      <c r="H103" s="30">
        <f t="shared" si="13"/>
        <v>1.5756963144963144E-2</v>
      </c>
      <c r="I103" s="36">
        <f t="shared" si="14"/>
        <v>0.12605570515970516</v>
      </c>
      <c r="J103" s="36">
        <f t="shared" si="15"/>
        <v>4.7520341336964068E-2</v>
      </c>
      <c r="K103" s="36">
        <f t="shared" si="16"/>
        <v>3.4510580564328264E-2</v>
      </c>
    </row>
    <row r="104" spans="1:11" ht="20.399999999999999" customHeight="1" x14ac:dyDescent="0.3">
      <c r="A104" s="273"/>
      <c r="B104" s="274"/>
      <c r="C104" s="34" t="s">
        <v>388</v>
      </c>
      <c r="D104" s="84">
        <f>+D103</f>
        <v>0</v>
      </c>
      <c r="E104" s="121">
        <f>+E103</f>
        <v>6413084</v>
      </c>
      <c r="F104" s="122" t="str">
        <f t="shared" si="17"/>
        <v>N/A</v>
      </c>
      <c r="G104" s="35">
        <f t="shared" si="12"/>
        <v>1.5756963144963144E-2</v>
      </c>
      <c r="H104" s="35">
        <f t="shared" si="13"/>
        <v>1.5756963144963144E-2</v>
      </c>
      <c r="I104" s="39">
        <f t="shared" si="14"/>
        <v>0.12605570515970516</v>
      </c>
      <c r="J104" s="39">
        <f t="shared" si="15"/>
        <v>4.7520341336964068E-2</v>
      </c>
      <c r="K104" s="39">
        <f t="shared" si="16"/>
        <v>3.4510580564328264E-2</v>
      </c>
    </row>
    <row r="105" spans="1:11" ht="18" customHeight="1" x14ac:dyDescent="0.35">
      <c r="A105" s="278" t="s">
        <v>390</v>
      </c>
      <c r="B105" s="279"/>
      <c r="C105" s="279"/>
      <c r="D105" s="88">
        <f>+D104+D102+D84+D51</f>
        <v>64305137.269999996</v>
      </c>
      <c r="E105" s="117">
        <f>+E104+E102+E84+E51</f>
        <v>76666188.5</v>
      </c>
      <c r="F105" s="111">
        <f t="shared" si="17"/>
        <v>0.19222494119092337</v>
      </c>
      <c r="G105" s="33">
        <f t="shared" si="12"/>
        <v>0.18836901351351351</v>
      </c>
      <c r="H105" s="33">
        <f t="shared" si="13"/>
        <v>0.18836901351351351</v>
      </c>
      <c r="I105" s="38">
        <f t="shared" si="14"/>
        <v>1.5069521081081081</v>
      </c>
      <c r="J105" s="38">
        <f t="shared" si="15"/>
        <v>0.56808915126077086</v>
      </c>
      <c r="K105" s="38">
        <f t="shared" si="16"/>
        <v>0.41256198652461545</v>
      </c>
    </row>
    <row r="106" spans="1:11" ht="18" customHeight="1" x14ac:dyDescent="0.35">
      <c r="A106" s="278" t="s">
        <v>391</v>
      </c>
      <c r="B106" s="279"/>
      <c r="C106" s="279"/>
      <c r="D106" s="88">
        <f>+D104+D102+D84+D54+D51</f>
        <v>94318785.269999996</v>
      </c>
      <c r="E106" s="117">
        <f>+E104+E102+E84+E54+E51</f>
        <v>96784252.5</v>
      </c>
      <c r="F106" s="111">
        <f t="shared" si="17"/>
        <v>2.6139726279789104E-2</v>
      </c>
      <c r="G106" s="33">
        <f t="shared" si="12"/>
        <v>0.23779914619164619</v>
      </c>
      <c r="H106" s="33">
        <f t="shared" si="13"/>
        <v>0.23779914619164619</v>
      </c>
      <c r="I106" s="38">
        <f t="shared" si="14"/>
        <v>1.9023931695331695</v>
      </c>
      <c r="J106" s="38">
        <f t="shared" si="15"/>
        <v>0.7171620884496317</v>
      </c>
      <c r="K106" s="38">
        <f t="shared" si="16"/>
        <v>0.52082285890213498</v>
      </c>
    </row>
  </sheetData>
  <mergeCells count="25">
    <mergeCell ref="A4:B13"/>
    <mergeCell ref="A16:C16"/>
    <mergeCell ref="D14:E14"/>
    <mergeCell ref="D15:E15"/>
    <mergeCell ref="A1:K2"/>
    <mergeCell ref="D10:E10"/>
    <mergeCell ref="D11:E11"/>
    <mergeCell ref="D12:E12"/>
    <mergeCell ref="D13:E13"/>
    <mergeCell ref="A103:B104"/>
    <mergeCell ref="A105:C105"/>
    <mergeCell ref="A106:C106"/>
    <mergeCell ref="B85:B98"/>
    <mergeCell ref="B99:B101"/>
    <mergeCell ref="A85:A102"/>
    <mergeCell ref="B102:C102"/>
    <mergeCell ref="A55:A84"/>
    <mergeCell ref="B84:C84"/>
    <mergeCell ref="B69:B83"/>
    <mergeCell ref="A17:A54"/>
    <mergeCell ref="B51:C51"/>
    <mergeCell ref="B17:B35"/>
    <mergeCell ref="B36:B50"/>
    <mergeCell ref="B52:B54"/>
    <mergeCell ref="B55:B68"/>
  </mergeCells>
  <conditionalFormatting sqref="F36:F49 F85:F97">
    <cfRule type="cellIs" dxfId="29" priority="53" operator="greaterThan">
      <formula>0</formula>
    </cfRule>
    <cfRule type="cellIs" dxfId="28" priority="54" operator="lessThan">
      <formula>0</formula>
    </cfRule>
  </conditionalFormatting>
  <conditionalFormatting sqref="F50:F51">
    <cfRule type="cellIs" dxfId="27" priority="51" operator="greaterThan">
      <formula>0</formula>
    </cfRule>
    <cfRule type="cellIs" dxfId="26" priority="52" operator="lessThan">
      <formula>0</formula>
    </cfRule>
  </conditionalFormatting>
  <conditionalFormatting sqref="F52:F54">
    <cfRule type="cellIs" dxfId="25" priority="49" operator="lessThan">
      <formula>0</formula>
    </cfRule>
    <cfRule type="cellIs" dxfId="24" priority="50" operator="greaterThan">
      <formula>0</formula>
    </cfRule>
  </conditionalFormatting>
  <conditionalFormatting sqref="F55:F67">
    <cfRule type="cellIs" dxfId="23" priority="43" operator="greaterThan">
      <formula>0</formula>
    </cfRule>
    <cfRule type="cellIs" dxfId="22" priority="44" operator="lessThan">
      <formula>0</formula>
    </cfRule>
  </conditionalFormatting>
  <conditionalFormatting sqref="F68">
    <cfRule type="cellIs" dxfId="21" priority="41" operator="greaterThan">
      <formula>0</formula>
    </cfRule>
    <cfRule type="cellIs" dxfId="20" priority="42" operator="lessThan">
      <formula>0</formula>
    </cfRule>
  </conditionalFormatting>
  <conditionalFormatting sqref="F69:F82">
    <cfRule type="cellIs" dxfId="19" priority="39" operator="greaterThan">
      <formula>0</formula>
    </cfRule>
    <cfRule type="cellIs" dxfId="18" priority="40" operator="lessThan">
      <formula>0</formula>
    </cfRule>
  </conditionalFormatting>
  <conditionalFormatting sqref="F83:F84">
    <cfRule type="cellIs" dxfId="17" priority="37" operator="greaterThan">
      <formula>0</formula>
    </cfRule>
    <cfRule type="cellIs" dxfId="16" priority="38" operator="lessThan">
      <formula>0</formula>
    </cfRule>
  </conditionalFormatting>
  <conditionalFormatting sqref="F17:F35">
    <cfRule type="cellIs" dxfId="15" priority="29" operator="greaterThan">
      <formula>0</formula>
    </cfRule>
    <cfRule type="cellIs" dxfId="14" priority="30" operator="lessThan">
      <formula>0</formula>
    </cfRule>
  </conditionalFormatting>
  <conditionalFormatting sqref="F98">
    <cfRule type="cellIs" dxfId="13" priority="25" operator="greaterThan">
      <formula>0</formula>
    </cfRule>
    <cfRule type="cellIs" dxfId="12" priority="26" operator="lessThan">
      <formula>0</formula>
    </cfRule>
  </conditionalFormatting>
  <conditionalFormatting sqref="F99">
    <cfRule type="cellIs" dxfId="11" priority="23" operator="greaterThan">
      <formula>0</formula>
    </cfRule>
    <cfRule type="cellIs" dxfId="10" priority="24" operator="lessThan">
      <formula>0</formula>
    </cfRule>
  </conditionalFormatting>
  <conditionalFormatting sqref="F100">
    <cfRule type="cellIs" dxfId="9" priority="21" operator="greaterThan">
      <formula>0</formula>
    </cfRule>
    <cfRule type="cellIs" dxfId="8" priority="22" operator="lessThan">
      <formula>0</formula>
    </cfRule>
  </conditionalFormatting>
  <conditionalFormatting sqref="F101">
    <cfRule type="cellIs" dxfId="7" priority="19" operator="greaterThan">
      <formula>0</formula>
    </cfRule>
    <cfRule type="cellIs" dxfId="6" priority="20" operator="lessThan">
      <formula>0</formula>
    </cfRule>
  </conditionalFormatting>
  <conditionalFormatting sqref="F102">
    <cfRule type="cellIs" dxfId="5" priority="15" operator="greaterThan">
      <formula>0</formula>
    </cfRule>
    <cfRule type="cellIs" dxfId="4" priority="16" operator="lessThan">
      <formula>0</formula>
    </cfRule>
  </conditionalFormatting>
  <conditionalFormatting sqref="F103:F104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F105:F106">
    <cfRule type="cellIs" dxfId="1" priority="1" operator="greaterThan">
      <formula>0</formula>
    </cfRule>
    <cfRule type="cellIs" dxfId="0" priority="2" operator="lessThan">
      <formula>0</formula>
    </cfRule>
  </conditionalFormatting>
  <pageMargins left="0.25" right="0.25" top="0.75" bottom="0.75" header="0.3" footer="0.3"/>
  <pageSetup paperSize="9" scale="56"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8"/>
  <sheetViews>
    <sheetView workbookViewId="0">
      <selection activeCell="F23" sqref="F23"/>
    </sheetView>
  </sheetViews>
  <sheetFormatPr baseColWidth="10" defaultRowHeight="14.4" x14ac:dyDescent="0.3"/>
  <cols>
    <col min="2" max="2" width="35.33203125" style="106" customWidth="1"/>
    <col min="3" max="3" width="21.109375" style="106" customWidth="1"/>
    <col min="4" max="4" width="28.109375" style="106" customWidth="1"/>
    <col min="5" max="5" width="17.6640625" style="106" bestFit="1" customWidth="1"/>
    <col min="9" max="9" width="11.5546875" style="106" customWidth="1"/>
  </cols>
  <sheetData>
    <row r="1" spans="1:4" x14ac:dyDescent="0.3">
      <c r="A1" s="8" t="s">
        <v>395</v>
      </c>
      <c r="B1" s="8" t="s">
        <v>396</v>
      </c>
      <c r="C1" s="8" t="s">
        <v>397</v>
      </c>
    </row>
    <row r="2" spans="1:4" x14ac:dyDescent="0.3">
      <c r="A2" s="9" t="s">
        <v>398</v>
      </c>
      <c r="B2" s="9" t="s">
        <v>324</v>
      </c>
      <c r="C2" s="123">
        <v>33568653</v>
      </c>
    </row>
    <row r="3" spans="1:4" x14ac:dyDescent="0.3">
      <c r="A3" s="8" t="s">
        <v>395</v>
      </c>
      <c r="B3" s="8" t="s">
        <v>396</v>
      </c>
      <c r="C3" s="8" t="s">
        <v>397</v>
      </c>
      <c r="D3" s="8" t="s">
        <v>399</v>
      </c>
    </row>
    <row r="4" spans="1:4" x14ac:dyDescent="0.3">
      <c r="A4" s="9" t="s">
        <v>400</v>
      </c>
      <c r="B4" s="9" t="s">
        <v>401</v>
      </c>
      <c r="C4" s="123">
        <v>11695770</v>
      </c>
      <c r="D4" s="9" t="s">
        <v>402</v>
      </c>
    </row>
    <row r="5" spans="1:4" x14ac:dyDescent="0.3">
      <c r="A5" s="9" t="s">
        <v>400</v>
      </c>
      <c r="B5" s="9" t="s">
        <v>401</v>
      </c>
      <c r="C5" s="123">
        <v>25986435</v>
      </c>
      <c r="D5" s="9" t="s">
        <v>403</v>
      </c>
    </row>
    <row r="6" spans="1:4" x14ac:dyDescent="0.3">
      <c r="A6" s="8" t="s">
        <v>395</v>
      </c>
      <c r="B6" s="8" t="s">
        <v>396</v>
      </c>
      <c r="C6" s="8" t="s">
        <v>397</v>
      </c>
      <c r="D6" s="8" t="s">
        <v>399</v>
      </c>
    </row>
    <row r="7" spans="1:4" x14ac:dyDescent="0.3">
      <c r="A7" s="9" t="s">
        <v>404</v>
      </c>
      <c r="B7" s="9" t="s">
        <v>405</v>
      </c>
      <c r="C7" s="123">
        <v>38797886</v>
      </c>
      <c r="D7" s="9" t="s">
        <v>402</v>
      </c>
    </row>
    <row r="8" spans="1:4" x14ac:dyDescent="0.3">
      <c r="A8" s="9" t="s">
        <v>404</v>
      </c>
      <c r="B8" s="9" t="s">
        <v>405</v>
      </c>
      <c r="C8" s="123">
        <v>18653528</v>
      </c>
      <c r="D8" s="9" t="s">
        <v>403</v>
      </c>
    </row>
    <row r="9" spans="1:4" x14ac:dyDescent="0.3">
      <c r="A9" s="9" t="s">
        <v>404</v>
      </c>
      <c r="B9" s="9" t="s">
        <v>405</v>
      </c>
      <c r="C9" s="123">
        <v>2626862</v>
      </c>
      <c r="D9" s="9" t="s">
        <v>402</v>
      </c>
    </row>
    <row r="10" spans="1:4" x14ac:dyDescent="0.3">
      <c r="A10" s="9" t="s">
        <v>404</v>
      </c>
      <c r="B10" s="9" t="s">
        <v>405</v>
      </c>
      <c r="C10" s="123">
        <v>1464536</v>
      </c>
      <c r="D10" s="9" t="s">
        <v>403</v>
      </c>
    </row>
    <row r="11" spans="1:4" x14ac:dyDescent="0.3">
      <c r="A11" s="8" t="s">
        <v>395</v>
      </c>
      <c r="B11" s="8" t="s">
        <v>396</v>
      </c>
      <c r="C11" s="8" t="s">
        <v>397</v>
      </c>
      <c r="D11" s="8" t="s">
        <v>399</v>
      </c>
    </row>
    <row r="12" spans="1:4" x14ac:dyDescent="0.3">
      <c r="A12" s="9" t="s">
        <v>406</v>
      </c>
      <c r="B12" s="9" t="s">
        <v>334</v>
      </c>
      <c r="C12" s="123">
        <v>38812609</v>
      </c>
      <c r="D12" s="9" t="s">
        <v>402</v>
      </c>
    </row>
    <row r="13" spans="1:4" x14ac:dyDescent="0.3">
      <c r="A13" s="9" t="s">
        <v>406</v>
      </c>
      <c r="B13" s="9" t="s">
        <v>334</v>
      </c>
      <c r="C13" s="123">
        <v>5264662</v>
      </c>
      <c r="D13" s="9" t="s">
        <v>403</v>
      </c>
    </row>
    <row r="14" spans="1:4" x14ac:dyDescent="0.3">
      <c r="A14" s="8" t="s">
        <v>395</v>
      </c>
      <c r="B14" s="8" t="s">
        <v>396</v>
      </c>
      <c r="C14" s="8" t="s">
        <v>397</v>
      </c>
      <c r="D14" s="8" t="s">
        <v>399</v>
      </c>
    </row>
    <row r="15" spans="1:4" x14ac:dyDescent="0.3">
      <c r="A15" s="9" t="s">
        <v>407</v>
      </c>
      <c r="B15" s="9" t="s">
        <v>408</v>
      </c>
      <c r="C15" s="123">
        <v>60780515</v>
      </c>
      <c r="D15" s="9" t="s">
        <v>402</v>
      </c>
    </row>
    <row r="16" spans="1:4" x14ac:dyDescent="0.3">
      <c r="A16" s="9" t="s">
        <v>407</v>
      </c>
      <c r="B16" s="9" t="s">
        <v>408</v>
      </c>
      <c r="C16" s="123">
        <v>13322861</v>
      </c>
      <c r="D16" s="9" t="s">
        <v>403</v>
      </c>
    </row>
    <row r="17" spans="1:5" x14ac:dyDescent="0.3">
      <c r="A17" s="9" t="s">
        <v>407</v>
      </c>
      <c r="B17" s="9" t="s">
        <v>408</v>
      </c>
      <c r="C17" s="123">
        <v>610251</v>
      </c>
      <c r="D17" s="9" t="s">
        <v>409</v>
      </c>
    </row>
    <row r="18" spans="1:5" x14ac:dyDescent="0.3">
      <c r="A18" s="8" t="s">
        <v>395</v>
      </c>
      <c r="B18" s="8" t="s">
        <v>396</v>
      </c>
      <c r="C18" s="8" t="s">
        <v>397</v>
      </c>
      <c r="D18" s="8" t="s">
        <v>399</v>
      </c>
    </row>
    <row r="19" spans="1:5" x14ac:dyDescent="0.3">
      <c r="A19" s="9" t="s">
        <v>410</v>
      </c>
      <c r="B19" s="9" t="s">
        <v>341</v>
      </c>
      <c r="C19" s="123">
        <v>7163476</v>
      </c>
      <c r="D19" s="9" t="s">
        <v>402</v>
      </c>
    </row>
    <row r="20" spans="1:5" x14ac:dyDescent="0.3">
      <c r="A20" s="9" t="s">
        <v>410</v>
      </c>
      <c r="B20" s="9" t="s">
        <v>341</v>
      </c>
      <c r="C20" s="123">
        <v>1995604</v>
      </c>
      <c r="D20" s="9" t="s">
        <v>409</v>
      </c>
    </row>
    <row r="21" spans="1:5" x14ac:dyDescent="0.3">
      <c r="A21" s="8" t="s">
        <v>395</v>
      </c>
      <c r="B21" s="8" t="s">
        <v>396</v>
      </c>
      <c r="C21" s="8" t="s">
        <v>397</v>
      </c>
      <c r="D21" s="8" t="s">
        <v>399</v>
      </c>
    </row>
    <row r="22" spans="1:5" x14ac:dyDescent="0.3">
      <c r="A22" s="9" t="s">
        <v>411</v>
      </c>
      <c r="B22" s="9" t="s">
        <v>412</v>
      </c>
      <c r="C22" s="123">
        <v>3143481</v>
      </c>
      <c r="D22" s="9" t="s">
        <v>402</v>
      </c>
    </row>
    <row r="23" spans="1:5" x14ac:dyDescent="0.3">
      <c r="A23" s="9" t="s">
        <v>411</v>
      </c>
      <c r="B23" s="9" t="s">
        <v>412</v>
      </c>
      <c r="C23" s="123">
        <v>1146460</v>
      </c>
      <c r="D23" s="9" t="s">
        <v>403</v>
      </c>
    </row>
    <row r="24" spans="1:5" x14ac:dyDescent="0.3">
      <c r="A24" s="8" t="s">
        <v>395</v>
      </c>
      <c r="B24" s="8" t="s">
        <v>396</v>
      </c>
      <c r="C24" s="8" t="s">
        <v>397</v>
      </c>
      <c r="D24" s="8" t="s">
        <v>399</v>
      </c>
    </row>
    <row r="25" spans="1:5" x14ac:dyDescent="0.3">
      <c r="A25" s="9" t="s">
        <v>413</v>
      </c>
      <c r="B25" s="9" t="s">
        <v>414</v>
      </c>
      <c r="C25" s="123">
        <v>22236026</v>
      </c>
      <c r="D25" s="9" t="s">
        <v>415</v>
      </c>
    </row>
    <row r="26" spans="1:5" x14ac:dyDescent="0.3">
      <c r="A26" s="8" t="s">
        <v>395</v>
      </c>
      <c r="B26" s="8" t="s">
        <v>396</v>
      </c>
      <c r="C26" s="8" t="s">
        <v>397</v>
      </c>
      <c r="D26" s="8" t="s">
        <v>399</v>
      </c>
    </row>
    <row r="27" spans="1:5" x14ac:dyDescent="0.3">
      <c r="A27" s="9" t="s">
        <v>416</v>
      </c>
      <c r="B27" s="9" t="s">
        <v>417</v>
      </c>
      <c r="C27" s="123">
        <v>5972925</v>
      </c>
      <c r="D27" s="9" t="s">
        <v>415</v>
      </c>
    </row>
    <row r="28" spans="1:5" x14ac:dyDescent="0.3">
      <c r="A28" s="8" t="s">
        <v>395</v>
      </c>
      <c r="B28" s="8" t="s">
        <v>396</v>
      </c>
      <c r="C28" s="8" t="s">
        <v>397</v>
      </c>
      <c r="D28" s="8" t="s">
        <v>399</v>
      </c>
      <c r="E28" s="10" t="s">
        <v>418</v>
      </c>
    </row>
    <row r="29" spans="1:5" x14ac:dyDescent="0.3">
      <c r="A29" s="9" t="s">
        <v>419</v>
      </c>
      <c r="B29" s="9" t="s">
        <v>420</v>
      </c>
      <c r="C29" s="123">
        <v>353000</v>
      </c>
      <c r="D29" s="9" t="s">
        <v>415</v>
      </c>
      <c r="E29" s="11" t="s">
        <v>128</v>
      </c>
    </row>
    <row r="30" spans="1:5" x14ac:dyDescent="0.3">
      <c r="A30" s="8" t="s">
        <v>395</v>
      </c>
      <c r="B30" s="8" t="s">
        <v>396</v>
      </c>
      <c r="C30" s="8" t="s">
        <v>397</v>
      </c>
      <c r="D30" s="8" t="s">
        <v>399</v>
      </c>
      <c r="E30" s="10" t="s">
        <v>418</v>
      </c>
    </row>
    <row r="31" spans="1:5" x14ac:dyDescent="0.3">
      <c r="A31" s="9" t="s">
        <v>421</v>
      </c>
      <c r="B31" s="9" t="s">
        <v>422</v>
      </c>
      <c r="C31" s="123">
        <v>25317744</v>
      </c>
      <c r="D31" s="9" t="s">
        <v>415</v>
      </c>
      <c r="E31" s="11" t="s">
        <v>301</v>
      </c>
    </row>
    <row r="32" spans="1:5" x14ac:dyDescent="0.3">
      <c r="A32" s="8" t="s">
        <v>395</v>
      </c>
      <c r="B32" s="8" t="s">
        <v>396</v>
      </c>
      <c r="C32" s="8" t="s">
        <v>397</v>
      </c>
      <c r="D32" s="8" t="s">
        <v>399</v>
      </c>
      <c r="E32" s="10" t="s">
        <v>418</v>
      </c>
    </row>
    <row r="33" spans="1:5" x14ac:dyDescent="0.3">
      <c r="A33" s="9" t="s">
        <v>423</v>
      </c>
      <c r="B33" s="9" t="s">
        <v>424</v>
      </c>
      <c r="C33" s="123">
        <v>127913653</v>
      </c>
      <c r="D33" s="9" t="s">
        <v>415</v>
      </c>
      <c r="E33" s="11" t="s">
        <v>128</v>
      </c>
    </row>
    <row r="34" spans="1:5" x14ac:dyDescent="0.3">
      <c r="A34" s="9" t="s">
        <v>423</v>
      </c>
      <c r="B34" s="9" t="s">
        <v>424</v>
      </c>
      <c r="C34" s="123">
        <v>7850716</v>
      </c>
      <c r="D34" s="9" t="s">
        <v>415</v>
      </c>
      <c r="E34" t="s">
        <v>425</v>
      </c>
    </row>
    <row r="35" spans="1:5" x14ac:dyDescent="0.3">
      <c r="A35" s="8" t="s">
        <v>395</v>
      </c>
      <c r="B35" s="8" t="s">
        <v>396</v>
      </c>
      <c r="C35" s="8" t="s">
        <v>397</v>
      </c>
      <c r="D35" s="8" t="s">
        <v>399</v>
      </c>
      <c r="E35" s="10" t="s">
        <v>418</v>
      </c>
    </row>
    <row r="36" spans="1:5" x14ac:dyDescent="0.3">
      <c r="A36" s="9" t="s">
        <v>426</v>
      </c>
      <c r="B36" s="9" t="s">
        <v>341</v>
      </c>
      <c r="C36" s="123">
        <v>20000000</v>
      </c>
      <c r="D36" s="9" t="s">
        <v>402</v>
      </c>
      <c r="E36" s="11" t="s">
        <v>301</v>
      </c>
    </row>
    <row r="37" spans="1:5" x14ac:dyDescent="0.3">
      <c r="A37" s="9" t="s">
        <v>426</v>
      </c>
      <c r="B37" s="9" t="s">
        <v>341</v>
      </c>
      <c r="C37" s="123">
        <v>6413084</v>
      </c>
      <c r="D37" s="9" t="s">
        <v>403</v>
      </c>
      <c r="E37" s="11" t="s">
        <v>427</v>
      </c>
    </row>
    <row r="38" spans="1:5" ht="28.8" customHeight="1" x14ac:dyDescent="0.3">
      <c r="A38" s="9" t="s">
        <v>426</v>
      </c>
      <c r="B38" s="9" t="s">
        <v>341</v>
      </c>
      <c r="C38" s="123">
        <v>50000000</v>
      </c>
      <c r="D38" s="9" t="s">
        <v>415</v>
      </c>
      <c r="E38" s="12" t="s">
        <v>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"/>
  <sheetViews>
    <sheetView workbookViewId="0">
      <selection activeCell="J12" sqref="J12"/>
    </sheetView>
  </sheetViews>
  <sheetFormatPr baseColWidth="10" defaultRowHeight="14.4" x14ac:dyDescent="0.3"/>
  <cols>
    <col min="7" max="7" width="32.33203125" style="106" bestFit="1" customWidth="1"/>
    <col min="8" max="8" width="16.109375" style="106" bestFit="1" customWidth="1"/>
    <col min="9" max="9" width="18" style="106" bestFit="1" customWidth="1"/>
    <col min="10" max="10" width="17.33203125" style="106" bestFit="1" customWidth="1"/>
    <col min="11" max="11" width="15.44140625" style="106" customWidth="1"/>
  </cols>
  <sheetData>
    <row r="1" spans="1:11" ht="28.8" customHeight="1" x14ac:dyDescent="0.3">
      <c r="G1" s="4" t="s">
        <v>428</v>
      </c>
      <c r="H1" s="2" t="s">
        <v>301</v>
      </c>
      <c r="I1" s="7" t="s">
        <v>302</v>
      </c>
      <c r="J1" s="2" t="s">
        <v>303</v>
      </c>
      <c r="K1" s="2" t="s">
        <v>429</v>
      </c>
    </row>
    <row r="2" spans="1:11" x14ac:dyDescent="0.3">
      <c r="B2" s="248" t="s">
        <v>399</v>
      </c>
      <c r="C2" s="249"/>
      <c r="D2" s="249"/>
      <c r="E2" s="249"/>
      <c r="G2" s="3" t="s">
        <v>430</v>
      </c>
      <c r="H2" s="5">
        <v>0</v>
      </c>
      <c r="I2" s="5">
        <v>0</v>
      </c>
      <c r="J2" s="5">
        <v>0</v>
      </c>
      <c r="K2" s="5">
        <v>1</v>
      </c>
    </row>
    <row r="3" spans="1:11" x14ac:dyDescent="0.3">
      <c r="A3" t="s">
        <v>431</v>
      </c>
      <c r="B3" t="s">
        <v>128</v>
      </c>
      <c r="C3" t="s">
        <v>129</v>
      </c>
      <c r="D3" t="s">
        <v>432</v>
      </c>
      <c r="G3" s="3" t="s">
        <v>433</v>
      </c>
      <c r="H3" s="6">
        <v>0.5</v>
      </c>
      <c r="I3" s="6">
        <v>0.5</v>
      </c>
      <c r="J3" s="52"/>
      <c r="K3" s="52"/>
    </row>
    <row r="4" spans="1:11" x14ac:dyDescent="0.3">
      <c r="A4" t="s">
        <v>125</v>
      </c>
      <c r="B4" s="98">
        <v>1</v>
      </c>
      <c r="C4" s="98"/>
      <c r="D4" s="98"/>
      <c r="G4" s="3" t="s">
        <v>434</v>
      </c>
      <c r="H4" s="5">
        <v>0.33</v>
      </c>
      <c r="I4" s="5">
        <v>0.33</v>
      </c>
      <c r="J4" s="5">
        <v>0.33</v>
      </c>
      <c r="K4" s="5"/>
    </row>
    <row r="5" spans="1:11" x14ac:dyDescent="0.3">
      <c r="A5" t="s">
        <v>127</v>
      </c>
      <c r="B5" s="98">
        <v>2</v>
      </c>
      <c r="C5" s="98">
        <v>1</v>
      </c>
      <c r="D5" s="98">
        <v>1</v>
      </c>
      <c r="G5" s="3" t="s">
        <v>435</v>
      </c>
      <c r="H5" s="5">
        <v>1</v>
      </c>
      <c r="I5" s="5">
        <v>0</v>
      </c>
      <c r="J5" s="5">
        <v>0</v>
      </c>
      <c r="K5" s="5">
        <v>0</v>
      </c>
    </row>
    <row r="6" spans="1:11" x14ac:dyDescent="0.3">
      <c r="A6" t="s">
        <v>126</v>
      </c>
      <c r="B6" s="98">
        <v>3</v>
      </c>
      <c r="C6" s="98"/>
      <c r="D6" s="98"/>
      <c r="G6" s="101" t="s">
        <v>436</v>
      </c>
      <c r="H6" s="16">
        <v>0.25</v>
      </c>
      <c r="I6" s="16">
        <v>0.25</v>
      </c>
      <c r="J6" s="16">
        <v>0.25</v>
      </c>
      <c r="K6" s="17">
        <v>0.25</v>
      </c>
    </row>
  </sheetData>
  <mergeCells count="1">
    <mergeCell ref="B2:E2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9998-B1A8-4CC3-910F-95C5BDDEA7AE}">
  <dimension ref="A1:I1"/>
  <sheetViews>
    <sheetView workbookViewId="0">
      <selection activeCell="I1" sqref="I1"/>
    </sheetView>
  </sheetViews>
  <sheetFormatPr baseColWidth="10" defaultRowHeight="14.4" x14ac:dyDescent="0.3"/>
  <cols>
    <col min="1" max="1" width="13.88671875" customWidth="1"/>
    <col min="2" max="2" width="18.5546875" customWidth="1"/>
    <col min="3" max="3" width="15.33203125" customWidth="1"/>
    <col min="4" max="4" width="34.77734375" customWidth="1"/>
    <col min="5" max="5" width="33.88671875" bestFit="1" customWidth="1"/>
    <col min="6" max="6" width="52.109375" bestFit="1" customWidth="1"/>
    <col min="7" max="7" width="9.5546875" customWidth="1"/>
    <col min="8" max="8" width="16.44140625" customWidth="1"/>
  </cols>
  <sheetData>
    <row r="1" spans="1:9" x14ac:dyDescent="0.3">
      <c r="A1" s="95" t="s">
        <v>80</v>
      </c>
      <c r="B1" s="95" t="s">
        <v>107</v>
      </c>
      <c r="C1" s="95" t="s">
        <v>108</v>
      </c>
      <c r="D1" s="95" t="s">
        <v>109</v>
      </c>
      <c r="E1" s="95" t="s">
        <v>110</v>
      </c>
      <c r="F1" s="95" t="s">
        <v>111</v>
      </c>
      <c r="G1" s="96" t="s">
        <v>75</v>
      </c>
      <c r="H1" s="95" t="s">
        <v>84</v>
      </c>
      <c r="I1" s="95" t="s">
        <v>453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selection activeCell="G19" sqref="G19"/>
    </sheetView>
  </sheetViews>
  <sheetFormatPr baseColWidth="10" defaultRowHeight="14.4" x14ac:dyDescent="0.3"/>
  <cols>
    <col min="1" max="1" width="29.109375" style="106" bestFit="1" customWidth="1"/>
    <col min="6" max="6" width="22.44140625" style="106" bestFit="1" customWidth="1"/>
  </cols>
  <sheetData>
    <row r="1" spans="1:8" x14ac:dyDescent="0.3">
      <c r="A1" s="46" t="s">
        <v>121</v>
      </c>
      <c r="B1">
        <v>0</v>
      </c>
      <c r="C1">
        <v>0</v>
      </c>
      <c r="D1">
        <v>0</v>
      </c>
      <c r="F1" t="s">
        <v>437</v>
      </c>
      <c r="G1">
        <f>+'RESULTADOS MES'!E8</f>
        <v>0</v>
      </c>
      <c r="H1">
        <f>+'RESULTADOS MES'!I8</f>
        <v>0</v>
      </c>
    </row>
    <row r="2" spans="1:8" x14ac:dyDescent="0.3">
      <c r="A2" s="49" t="s">
        <v>123</v>
      </c>
      <c r="B2">
        <v>0</v>
      </c>
      <c r="C2">
        <v>0</v>
      </c>
      <c r="D2">
        <v>0</v>
      </c>
      <c r="F2" t="s">
        <v>320</v>
      </c>
      <c r="G2">
        <f>+'RESULTADOS MES'!E5</f>
        <v>0</v>
      </c>
      <c r="H2">
        <f>+'RESULTADOS MES'!I5</f>
        <v>0</v>
      </c>
    </row>
    <row r="3" spans="1:8" x14ac:dyDescent="0.3">
      <c r="A3" s="51" t="s">
        <v>122</v>
      </c>
      <c r="B3">
        <v>0</v>
      </c>
      <c r="C3">
        <v>0</v>
      </c>
      <c r="D3">
        <v>0</v>
      </c>
      <c r="F3" t="s">
        <v>51</v>
      </c>
      <c r="G3">
        <f>+'RESULTADOS MES'!E12</f>
        <v>0</v>
      </c>
      <c r="H3">
        <f>+'RESULTADOS MES'!I12</f>
        <v>0</v>
      </c>
    </row>
    <row r="4" spans="1:8" x14ac:dyDescent="0.3">
      <c r="A4" t="s">
        <v>438</v>
      </c>
      <c r="B4">
        <v>20</v>
      </c>
      <c r="C4">
        <v>0.1</v>
      </c>
      <c r="D4">
        <v>0.1</v>
      </c>
      <c r="F4" t="s">
        <v>439</v>
      </c>
      <c r="G4">
        <f>+'RESULTADOS MES'!D36</f>
        <v>0</v>
      </c>
      <c r="H4" s="125">
        <f>+'RESULTADOS MES'!J36</f>
        <v>0</v>
      </c>
    </row>
    <row r="5" spans="1:8" x14ac:dyDescent="0.3">
      <c r="A5" t="s">
        <v>440</v>
      </c>
      <c r="B5">
        <v>17</v>
      </c>
      <c r="C5">
        <v>0.1</v>
      </c>
      <c r="D5">
        <v>0.05</v>
      </c>
      <c r="F5" t="s">
        <v>441</v>
      </c>
      <c r="G5">
        <f>+'RESULTADOS MES'!D51</f>
        <v>0</v>
      </c>
      <c r="H5" s="125">
        <f>+'RESULTADOS MES'!J51</f>
        <v>0</v>
      </c>
    </row>
    <row r="6" spans="1:8" x14ac:dyDescent="0.3">
      <c r="F6" t="s">
        <v>442</v>
      </c>
      <c r="G6">
        <f>+G4+G5</f>
        <v>0</v>
      </c>
      <c r="H6" s="124">
        <f>+H4+H5</f>
        <v>0</v>
      </c>
    </row>
    <row r="7" spans="1:8" x14ac:dyDescent="0.3">
      <c r="F7" t="s">
        <v>443</v>
      </c>
      <c r="G7">
        <f>+G3+G6</f>
        <v>0</v>
      </c>
      <c r="H7" s="124">
        <f>+H3+H6</f>
        <v>0</v>
      </c>
    </row>
    <row r="8" spans="1:8" x14ac:dyDescent="0.3">
      <c r="F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3</vt:i4>
      </vt:variant>
    </vt:vector>
  </HeadingPairs>
  <TitlesOfParts>
    <vt:vector size="19" baseType="lpstr">
      <vt:lpstr>RESULTADOS MES</vt:lpstr>
      <vt:lpstr>Ventas</vt:lpstr>
      <vt:lpstr>Recaudos</vt:lpstr>
      <vt:lpstr>Detalle Ventas</vt:lpstr>
      <vt:lpstr>Cartera</vt:lpstr>
      <vt:lpstr>CarteraHistorico</vt:lpstr>
      <vt:lpstr>PptoSiguiente</vt:lpstr>
      <vt:lpstr>Gastos Mes</vt:lpstr>
      <vt:lpstr>Metas</vt:lpstr>
      <vt:lpstr>Hoja2</vt:lpstr>
      <vt:lpstr>SANDVILLE</vt:lpstr>
      <vt:lpstr>WESTVILLE</vt:lpstr>
      <vt:lpstr>Hoja3</vt:lpstr>
      <vt:lpstr>CONFIG</vt:lpstr>
      <vt:lpstr>GastosHistorico</vt:lpstr>
      <vt:lpstr>Control</vt:lpstr>
      <vt:lpstr>'RESULTADOS MES'!Área_de_impresión</vt:lpstr>
      <vt:lpstr>SANDVILLE!Títulos_a_imprimir</vt:lpstr>
      <vt:lpstr>WESTVILLE!Títulos_a_imprimir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Avila</dc:creator>
  <cp:lastModifiedBy>Jorge Avila</cp:lastModifiedBy>
  <cp:lastPrinted>2020-08-31T18:38:12Z</cp:lastPrinted>
  <dcterms:created xsi:type="dcterms:W3CDTF">2018-09-02T17:30:46Z</dcterms:created>
  <dcterms:modified xsi:type="dcterms:W3CDTF">2021-02-03T17:23:58Z</dcterms:modified>
</cp:coreProperties>
</file>